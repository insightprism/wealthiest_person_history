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VE Calculator" sheetId="1" state="visible" r:id="rId1"/>
    <sheet xmlns:r="http://schemas.openxmlformats.org/officeDocument/2006/relationships" name="Comparison 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1">
    <numFmt numFmtId="164" formatCode="0.0"/>
    <numFmt numFmtId="165" formatCode="#,##0&quot; oz&quot;"/>
    <numFmt numFmtId="166" formatCode="#,##0&quot; gold ounces&quot;"/>
    <numFmt numFmtId="167" formatCode="$#,##0,,&quot; T&quot;"/>
    <numFmt numFmtId="168" formatCode="$#,##0&quot; USD&quot;"/>
    <numFmt numFmtId="169" formatCode="0.00&quot; x&quot;"/>
    <numFmt numFmtId="170" formatCode="0.0%"/>
    <numFmt numFmtId="171" formatCode="0.00&quot; oz&quot;"/>
    <numFmt numFmtId="172" formatCode="0.00&quot; B&quot;"/>
    <numFmt numFmtId="173" formatCode="$#,##0"/>
    <numFmt numFmtId="174" formatCode="$0.00&quot; T&quot;"/>
  </numFmts>
  <fonts count="22">
    <font>
      <name val="Calibri"/>
      <family val="2"/>
      <color theme="1"/>
      <sz val="11"/>
      <scheme val="minor"/>
    </font>
    <font>
      <b val="1"/>
      <color rgb="00F59E0B"/>
      <sz val="18"/>
    </font>
    <font>
      <color rgb="009CA3AF"/>
      <sz val="10"/>
    </font>
    <font>
      <b val="1"/>
      <color rgb="00F59E0B"/>
      <sz val="12"/>
    </font>
    <font>
      <color rgb="00D1D5DB"/>
      <sz val="11"/>
    </font>
    <font>
      <color rgb="00FFFFFF"/>
      <sz val="11"/>
    </font>
    <font>
      <b val="1"/>
      <color rgb="0060A5FA"/>
      <sz val="11"/>
    </font>
    <font>
      <b val="1"/>
      <color rgb="0034D399"/>
      <sz val="11"/>
    </font>
    <font>
      <b val="1"/>
      <color rgb="00F59E0B"/>
      <sz val="11"/>
    </font>
    <font>
      <b val="1"/>
      <color rgb="00F59E0B"/>
      <sz val="14"/>
    </font>
    <font>
      <b val="1"/>
      <color rgb="0060A5FA"/>
      <sz val="12"/>
    </font>
    <font>
      <b val="1"/>
      <color rgb="00FFFFFF"/>
      <sz val="11"/>
    </font>
    <font>
      <b val="1"/>
      <color rgb="0034D399"/>
      <sz val="12"/>
    </font>
    <font>
      <b val="1"/>
      <color rgb="00FFFFFF"/>
      <sz val="12"/>
    </font>
    <font>
      <color rgb="009CA3AF"/>
      <sz val="9"/>
    </font>
    <font>
      <b val="1"/>
      <color rgb="0034D399"/>
      <sz val="14"/>
    </font>
    <font>
      <b val="1"/>
      <color rgb="009CA3AF"/>
      <sz val="11"/>
    </font>
    <font>
      <color rgb="006B7280"/>
      <sz val="9"/>
    </font>
    <font>
      <color rgb="00FFFFFF"/>
      <sz val="10"/>
    </font>
    <font>
      <color rgb="00D1D5DB"/>
      <sz val="10"/>
    </font>
    <font>
      <b val="1"/>
      <color rgb="00FFFFFF"/>
      <sz val="10"/>
    </font>
    <font>
      <b val="1"/>
      <color rgb="00F59E0B"/>
      <sz val="10"/>
    </font>
  </fonts>
  <fills count="9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374151"/>
        <bgColor rgb="00374151"/>
      </patternFill>
    </fill>
    <fill>
      <patternFill patternType="solid">
        <fgColor rgb="0078350F"/>
        <bgColor rgb="0078350F"/>
      </patternFill>
    </fill>
    <fill>
      <patternFill patternType="solid">
        <fgColor rgb="00111827"/>
        <bgColor rgb="00111827"/>
      </patternFill>
    </fill>
    <fill>
      <patternFill patternType="solid">
        <fgColor rgb="001E3A5F"/>
        <bgColor rgb="001E3A5F"/>
      </patternFill>
    </fill>
    <fill>
      <patternFill patternType="solid">
        <fgColor rgb="0014532D"/>
        <bgColor rgb="0014532D"/>
      </patternFill>
    </fill>
    <fill>
      <patternFill patternType="solid">
        <fgColor rgb="004C1D95"/>
        <bgColor rgb="004C1D95"/>
      </patternFill>
    </fill>
  </fills>
  <borders count="2">
    <border>
      <left/>
      <right/>
      <top/>
      <bottom/>
      <diagonal/>
    </border>
    <border>
      <left style="thin">
        <color rgb="004B5563"/>
      </left>
      <right style="thin">
        <color rgb="004B5563"/>
      </right>
      <top style="thin">
        <color rgb="004B5563"/>
      </top>
      <bottom style="thin">
        <color rgb="004B5563"/>
      </bottom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0" fillId="5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9" fillId="5" borderId="0" pivotButton="0" quotePrefix="0" xfId="0"/>
    <xf numFmtId="0" fontId="4" fillId="5" borderId="0" pivotButton="0" quotePrefix="0" xfId="0"/>
    <xf numFmtId="0" fontId="5" fillId="3" borderId="1" pivotButton="0" quotePrefix="0" xfId="0"/>
    <xf numFmtId="0" fontId="10" fillId="5" borderId="0" pivotButton="0" quotePrefix="0" xfId="0"/>
    <xf numFmtId="165" fontId="5" fillId="5" borderId="0" applyAlignment="1" pivotButton="0" quotePrefix="0" xfId="0">
      <alignment horizontal="right"/>
    </xf>
    <xf numFmtId="0" fontId="6" fillId="5" borderId="0" pivotButton="0" quotePrefix="0" xfId="0"/>
    <xf numFmtId="0" fontId="11" fillId="5" borderId="0" pivotButton="0" quotePrefix="0" xfId="0"/>
    <xf numFmtId="165" fontId="8" fillId="5" borderId="0" applyAlignment="1" pivotButton="0" quotePrefix="0" xfId="0">
      <alignment horizontal="right"/>
    </xf>
    <xf numFmtId="3" fontId="5" fillId="3" borderId="1" pivotButton="0" quotePrefix="0" xfId="0"/>
    <xf numFmtId="2" fontId="5" fillId="3" borderId="1" pivotButton="0" quotePrefix="0" xfId="0"/>
    <xf numFmtId="0" fontId="12" fillId="5" borderId="0" pivotButton="0" quotePrefix="0" xfId="0"/>
    <xf numFmtId="164" fontId="5" fillId="3" borderId="1" pivotButton="0" quotePrefix="0" xfId="0"/>
    <xf numFmtId="1" fontId="5" fillId="3" borderId="1" pivotButton="0" quotePrefix="0" xfId="0"/>
    <xf numFmtId="0" fontId="7" fillId="5" borderId="0" pivotButton="0" quotePrefix="0" xfId="0"/>
    <xf numFmtId="165" fontId="7" fillId="5" borderId="0" applyAlignment="1" pivotButton="0" quotePrefix="0" xfId="0">
      <alignment horizontal="right"/>
    </xf>
    <xf numFmtId="0" fontId="13" fillId="4" borderId="0" pivotButton="0" quotePrefix="0" xfId="0"/>
    <xf numFmtId="165" fontId="9" fillId="4" borderId="0" applyAlignment="1" pivotButton="0" quotePrefix="0" xfId="0">
      <alignment horizontal="right"/>
    </xf>
    <xf numFmtId="0" fontId="14" fillId="4" borderId="0" pivotButton="0" quotePrefix="0" xfId="0"/>
    <xf numFmtId="166" fontId="14" fillId="4" borderId="0" applyAlignment="1" pivotButton="0" quotePrefix="0" xfId="0">
      <alignment horizontal="right"/>
    </xf>
    <xf numFmtId="0" fontId="8" fillId="5" borderId="0" pivotButton="0" quotePrefix="0" xfId="0"/>
    <xf numFmtId="167" fontId="15" fillId="4" borderId="0" applyAlignment="1" pivotButton="0" quotePrefix="0" xfId="0">
      <alignment horizontal="right"/>
    </xf>
    <xf numFmtId="168" fontId="14" fillId="4" borderId="0" applyAlignment="1" pivotButton="0" quotePrefix="0" xfId="0">
      <alignment horizontal="right"/>
    </xf>
    <xf numFmtId="0" fontId="3" fillId="5" borderId="0" pivotButton="0" quotePrefix="0" xfId="0"/>
    <xf numFmtId="169" fontId="6" fillId="5" borderId="0" applyAlignment="1" pivotButton="0" quotePrefix="0" xfId="0">
      <alignment horizontal="right"/>
    </xf>
    <xf numFmtId="170" fontId="6" fillId="5" borderId="0" applyAlignment="1" pivotButton="0" quotePrefix="0" xfId="0">
      <alignment horizontal="right"/>
    </xf>
    <xf numFmtId="171" fontId="6" fillId="5" borderId="0" applyAlignment="1" pivotButton="0" quotePrefix="0" xfId="0">
      <alignment horizontal="right"/>
    </xf>
    <xf numFmtId="10" fontId="6" fillId="5" borderId="0" applyAlignment="1" pivotButton="0" quotePrefix="0" xfId="0">
      <alignment horizontal="right"/>
    </xf>
    <xf numFmtId="170" fontId="5" fillId="5" borderId="0" applyAlignment="1" pivotButton="0" quotePrefix="0" xfId="0">
      <alignment horizontal="right"/>
    </xf>
    <xf numFmtId="0" fontId="16" fillId="5" borderId="0" pivotButton="0" quotePrefix="0" xfId="0"/>
    <xf numFmtId="0" fontId="17" fillId="5" borderId="0" pivotButton="0" quotePrefix="0" xfId="0"/>
    <xf numFmtId="0" fontId="9" fillId="2" borderId="0" pivotButton="0" quotePrefix="0" xfId="0"/>
    <xf numFmtId="0" fontId="21" fillId="2" borderId="0" applyAlignment="1" pivotButton="0" quotePrefix="0" xfId="0">
      <alignment horizontal="center"/>
    </xf>
    <xf numFmtId="0" fontId="17" fillId="2" borderId="0" pivotButton="0" quotePrefix="0" xfId="0"/>
    <xf numFmtId="0" fontId="8" fillId="2" borderId="0" pivotButton="0" quotePrefix="0" xfId="0"/>
    <xf numFmtId="3" fontId="18" fillId="2" borderId="0" applyAlignment="1" pivotButton="0" quotePrefix="0" xfId="0">
      <alignment horizontal="right"/>
    </xf>
    <xf numFmtId="0" fontId="19" fillId="2" borderId="0" pivotButton="0" quotePrefix="0" xfId="0"/>
    <xf numFmtId="49" fontId="18" fillId="3" borderId="1" applyAlignment="1" pivotButton="0" quotePrefix="0" xfId="0">
      <alignment horizontal="right"/>
    </xf>
    <xf numFmtId="1" fontId="18" fillId="3" borderId="1" applyAlignment="1" pivotButton="0" quotePrefix="0" xfId="0">
      <alignment horizontal="right"/>
    </xf>
    <xf numFmtId="0" fontId="20" fillId="6" borderId="0" pivotButton="0" quotePrefix="0" xfId="0"/>
    <xf numFmtId="3" fontId="18" fillId="6" borderId="0" applyAlignment="1" pivotButton="0" quotePrefix="0" xfId="0">
      <alignment horizontal="right"/>
    </xf>
    <xf numFmtId="3" fontId="18" fillId="3" borderId="1" applyAlignment="1" pivotButton="0" quotePrefix="0" xfId="0">
      <alignment horizontal="right"/>
    </xf>
    <xf numFmtId="2" fontId="18" fillId="3" borderId="1" applyAlignment="1" pivotButton="0" quotePrefix="0" xfId="0">
      <alignment horizontal="right"/>
    </xf>
    <xf numFmtId="164" fontId="18" fillId="3" borderId="1" applyAlignment="1" pivotButton="0" quotePrefix="0" xfId="0">
      <alignment horizontal="right"/>
    </xf>
    <xf numFmtId="0" fontId="20" fillId="7" borderId="0" pivotButton="0" quotePrefix="0" xfId="0"/>
    <xf numFmtId="3" fontId="18" fillId="7" borderId="0" applyAlignment="1" pivotButton="0" quotePrefix="0" xfId="0">
      <alignment horizontal="right"/>
    </xf>
    <xf numFmtId="0" fontId="20" fillId="2" borderId="0" pivotButton="0" quotePrefix="0" xfId="0"/>
    <xf numFmtId="0" fontId="8" fillId="6" borderId="0" pivotButton="0" quotePrefix="0" xfId="0"/>
    <xf numFmtId="0" fontId="19" fillId="6" borderId="0" pivotButton="0" quotePrefix="0" xfId="0"/>
    <xf numFmtId="3" fontId="8" fillId="6" borderId="0" applyAlignment="1" pivotButton="0" quotePrefix="0" xfId="0">
      <alignment horizontal="right"/>
    </xf>
    <xf numFmtId="0" fontId="8" fillId="7" borderId="0" pivotButton="0" quotePrefix="0" xfId="0"/>
    <xf numFmtId="0" fontId="19" fillId="7" borderId="0" pivotButton="0" quotePrefix="0" xfId="0"/>
    <xf numFmtId="3" fontId="8" fillId="7" borderId="0" applyAlignment="1" pivotButton="0" quotePrefix="0" xfId="0">
      <alignment horizontal="right"/>
    </xf>
    <xf numFmtId="0" fontId="8" fillId="4" borderId="0" pivotButton="0" quotePrefix="0" xfId="0"/>
    <xf numFmtId="3" fontId="18" fillId="4" borderId="0" applyAlignment="1" pivotButton="0" quotePrefix="0" xfId="0">
      <alignment horizontal="right"/>
    </xf>
    <xf numFmtId="3" fontId="8" fillId="4" borderId="0" applyAlignment="1" pivotButton="0" quotePrefix="0" xfId="0">
      <alignment horizontal="right"/>
    </xf>
    <xf numFmtId="172" fontId="8" fillId="4" borderId="0" applyAlignment="1" pivotButton="0" quotePrefix="0" xfId="0">
      <alignment horizontal="right"/>
    </xf>
    <xf numFmtId="173" fontId="8" fillId="4" borderId="0" applyAlignment="1" pivotButton="0" quotePrefix="0" xfId="0">
      <alignment horizontal="right"/>
    </xf>
    <xf numFmtId="174" fontId="8" fillId="4" borderId="0" applyAlignment="1" pivotButton="0" quotePrefix="0" xfId="0">
      <alignment horizontal="right"/>
    </xf>
    <xf numFmtId="0" fontId="8" fillId="8" borderId="0" pivotButton="0" quotePrefix="0" xfId="0"/>
    <xf numFmtId="3" fontId="18" fillId="8" borderId="0" applyAlignment="1" pivotButton="0" quotePrefix="0" xfId="0">
      <alignment horizontal="right"/>
    </xf>
    <xf numFmtId="0" fontId="19" fillId="8" borderId="0" pivotButton="0" quotePrefix="0" xfId="0"/>
    <xf numFmtId="169" fontId="18" fillId="8" borderId="0" applyAlignment="1" pivotButton="0" quotePrefix="0" xfId="0">
      <alignment horizontal="right"/>
    </xf>
    <xf numFmtId="170" fontId="18" fillId="8" borderId="0" applyAlignment="1" pivotButton="0" quotePrefix="0" xfId="0">
      <alignment horizontal="right"/>
    </xf>
    <xf numFmtId="2" fontId="18" fillId="8" borderId="0" applyAlignment="1" pivotButton="0" quotePrefix="0" xfId="0">
      <alignment horizontal="right"/>
    </xf>
    <xf numFmtId="10" fontId="18" fillId="8" borderId="0" applyAlignment="1" pivotButton="0" quotePrefix="0" xfId="0">
      <alignment horizontal="right"/>
    </xf>
    <xf numFmtId="170" fontId="18" fillId="5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20" customWidth="1" min="3" max="3"/>
    <col width="5" customWidth="1" min="4" max="4"/>
    <col width="35" customWidth="1" min="5" max="5"/>
    <col width="25" customWidth="1" min="6" max="6"/>
    <col width="3" customWidth="1" min="7" max="7"/>
  </cols>
  <sheetData>
    <row r="1">
      <c r="A1" s="1" t="n"/>
      <c r="B1" s="1" t="n"/>
      <c r="C1" s="1" t="n"/>
      <c r="D1" s="1" t="n"/>
      <c r="E1" s="1" t="n"/>
      <c r="F1" s="1" t="n"/>
      <c r="G1" s="1" t="n"/>
    </row>
    <row r="2">
      <c r="A2" s="1" t="n"/>
      <c r="B2" s="2" t="inlineStr">
        <is>
          <t>Sovereign Asset Valuation Engine (SAVE)</t>
        </is>
      </c>
      <c r="C2" s="1" t="n"/>
      <c r="D2" s="1" t="n"/>
      <c r="E2" s="1" t="n"/>
      <c r="F2" s="1" t="n"/>
      <c r="G2" s="1" t="n"/>
    </row>
    <row r="3">
      <c r="A3" s="1" t="n"/>
      <c r="B3" s="3" t="inlineStr">
        <is>
          <t>Calculate Real Wealth in Gold Ounces using the Consolidated Imperial Valuation (CIV) methodology</t>
        </is>
      </c>
      <c r="C3" s="1" t="n"/>
      <c r="D3" s="1" t="n"/>
      <c r="E3" s="1" t="n"/>
      <c r="F3" s="1" t="n"/>
      <c r="G3" s="1" t="n"/>
    </row>
    <row r="4">
      <c r="A4" s="1" t="n"/>
      <c r="B4" s="1" t="n"/>
      <c r="C4" s="1" t="n"/>
      <c r="D4" s="1" t="n"/>
      <c r="E4" s="1" t="n"/>
      <c r="F4" s="1" t="n"/>
      <c r="G4" s="1" t="n"/>
    </row>
    <row r="5">
      <c r="A5" s="1" t="n"/>
      <c r="B5" s="4" t="inlineStr">
        <is>
          <t>INPUT PARAMETERS</t>
        </is>
      </c>
      <c r="C5" s="1" t="n"/>
      <c r="D5" s="1" t="n"/>
      <c r="E5" s="5">
        <f>C7&amp;" ("&amp;C8&amp;")"</f>
        <v/>
      </c>
      <c r="F5" s="1" t="n"/>
      <c r="G5" s="1" t="n"/>
    </row>
    <row r="6">
      <c r="A6" s="1" t="n"/>
      <c r="B6" s="1" t="n"/>
      <c r="C6" s="1" t="n"/>
      <c r="D6" s="1" t="n"/>
      <c r="E6" s="1" t="n"/>
      <c r="F6" s="1" t="n"/>
      <c r="G6" s="1" t="n"/>
    </row>
    <row r="7">
      <c r="A7" s="1" t="n"/>
      <c r="B7" s="6" t="inlineStr">
        <is>
          <t>Ruler/Empire Name</t>
        </is>
      </c>
      <c r="C7" s="7" t="inlineStr">
        <is>
          <t>Akbar the Great (Mughal Empire)</t>
        </is>
      </c>
      <c r="D7" s="1" t="n"/>
      <c r="E7" s="8" t="inlineStr">
        <is>
          <t>Income Valuation (Operating Business)</t>
        </is>
      </c>
      <c r="F7" s="1" t="n"/>
      <c r="G7" s="1" t="n"/>
    </row>
    <row r="8">
      <c r="A8" s="1" t="n"/>
      <c r="B8" s="6" t="inlineStr">
        <is>
          <t>Year</t>
        </is>
      </c>
      <c r="C8" s="7" t="n">
        <v>1600</v>
      </c>
      <c r="D8" s="1" t="n"/>
      <c r="E8" s="6" t="inlineStr">
        <is>
          <t>Annual Gross Revenue (AGR)</t>
        </is>
      </c>
      <c r="F8" s="9">
        <f>C11*C12*C13</f>
        <v/>
      </c>
      <c r="G8" s="1" t="n"/>
    </row>
    <row r="9">
      <c r="A9" s="1" t="n"/>
      <c r="B9" s="1" t="n"/>
      <c r="C9" s="1" t="n"/>
      <c r="D9" s="1" t="n"/>
      <c r="E9" s="6" t="inlineStr">
        <is>
          <t>Annual Imperial Income (AII)</t>
        </is>
      </c>
      <c r="F9" s="9">
        <f>F8*C14</f>
        <v/>
      </c>
      <c r="G9" s="1" t="n"/>
    </row>
    <row r="10">
      <c r="A10" s="1" t="n"/>
      <c r="B10" s="10" t="inlineStr">
        <is>
          <t>Income Parameters</t>
        </is>
      </c>
      <c r="C10" s="1" t="n"/>
      <c r="D10" s="1" t="n"/>
      <c r="E10" s="11" t="inlineStr">
        <is>
          <t>Income Wealth (AII × K)</t>
        </is>
      </c>
      <c r="F10" s="12">
        <f>F9*C15</f>
        <v/>
      </c>
      <c r="G10" s="1" t="n"/>
    </row>
    <row r="11">
      <c r="A11" s="1" t="n"/>
      <c r="B11" s="6" t="inlineStr">
        <is>
          <t>Population (N)</t>
        </is>
      </c>
      <c r="C11" s="13" t="n">
        <v>110000000</v>
      </c>
      <c r="D11" s="1" t="n"/>
      <c r="E11" s="1" t="n"/>
      <c r="F11" s="1" t="n"/>
      <c r="G11" s="1" t="n"/>
    </row>
    <row r="12">
      <c r="A12" s="1" t="n"/>
      <c r="B12" s="6" t="inlineStr">
        <is>
          <t>Base Output (B) oz/person/year</t>
        </is>
      </c>
      <c r="C12" s="14" t="n">
        <v>0.75</v>
      </c>
      <c r="D12" s="1" t="n"/>
      <c r="E12" s="15" t="inlineStr">
        <is>
          <t>Asset Valuation (Balance Sheet)</t>
        </is>
      </c>
      <c r="F12" s="1" t="n"/>
      <c r="G12" s="1" t="n"/>
    </row>
    <row r="13">
      <c r="A13" s="1" t="n"/>
      <c r="B13" s="6" t="inlineStr">
        <is>
          <t>Velocity (V) [2.0-8.0]</t>
        </is>
      </c>
      <c r="C13" s="16" t="n">
        <v>4.5</v>
      </c>
      <c r="D13" s="1" t="n"/>
      <c r="E13" s="6" t="inlineStr">
        <is>
          <t>Infrastructure Floor (I)</t>
        </is>
      </c>
      <c r="F13" s="9">
        <f>(C11*C12)*0.05</f>
        <v/>
      </c>
      <c r="G13" s="1" t="n"/>
    </row>
    <row r="14">
      <c r="A14" s="1" t="n"/>
      <c r="B14" s="6" t="inlineStr">
        <is>
          <t>Extraction Margin (M) [0.01-0.50]</t>
        </is>
      </c>
      <c r="C14" s="14" t="n">
        <v>0.1</v>
      </c>
      <c r="D14" s="1" t="n"/>
      <c r="E14" s="6" t="inlineStr">
        <is>
          <t>Liquid Treasury (L)</t>
        </is>
      </c>
      <c r="F14" s="9">
        <f>C18</f>
        <v/>
      </c>
      <c r="G14" s="1" t="n"/>
    </row>
    <row r="15">
      <c r="A15" s="1" t="n"/>
      <c r="B15" s="6" t="inlineStr">
        <is>
          <t>Capitalization Multiple (K) [1-100]</t>
        </is>
      </c>
      <c r="C15" s="17" t="n">
        <v>20</v>
      </c>
      <c r="D15" s="1" t="n"/>
      <c r="E15" s="6" t="inlineStr">
        <is>
          <t>Imperial Real Estate (R)</t>
        </is>
      </c>
      <c r="F15" s="9">
        <f>C19</f>
        <v/>
      </c>
      <c r="G15" s="1" t="n"/>
    </row>
    <row r="16">
      <c r="A16" s="1" t="n"/>
      <c r="B16" s="1" t="n"/>
      <c r="C16" s="1" t="n"/>
      <c r="D16" s="1" t="n"/>
      <c r="E16" s="6" t="inlineStr">
        <is>
          <t>Extraordinary Gains (E)</t>
        </is>
      </c>
      <c r="F16" s="9">
        <f>C20</f>
        <v/>
      </c>
      <c r="G16" s="1" t="n"/>
    </row>
    <row r="17">
      <c r="A17" s="1" t="n"/>
      <c r="B17" s="18" t="inlineStr">
        <is>
          <t>Asset Parameters (Balance Sheet)</t>
        </is>
      </c>
      <c r="C17" s="1" t="n"/>
      <c r="D17" s="1" t="n"/>
      <c r="E17" s="11" t="inlineStr">
        <is>
          <t>Asset Wealth (I+L+R+E)</t>
        </is>
      </c>
      <c r="F17" s="19">
        <f>F13+C18+C19+C20</f>
        <v/>
      </c>
      <c r="G17" s="1" t="n"/>
    </row>
    <row r="18">
      <c r="A18" s="1" t="n"/>
      <c r="B18" s="6" t="inlineStr">
        <is>
          <t>Liquid Treasury (L) oz</t>
        </is>
      </c>
      <c r="C18" s="13" t="n">
        <v>50000000</v>
      </c>
      <c r="D18" s="1" t="n"/>
      <c r="E18" s="1" t="n"/>
      <c r="F18" s="1" t="n"/>
      <c r="G18" s="1" t="n"/>
    </row>
    <row r="19">
      <c r="A19" s="1" t="n"/>
      <c r="B19" s="6" t="inlineStr">
        <is>
          <t>Imperial Real Estate (R) oz</t>
        </is>
      </c>
      <c r="C19" s="13" t="n">
        <v>10000000</v>
      </c>
      <c r="D19" s="1" t="n"/>
      <c r="E19" s="20" t="inlineStr">
        <is>
          <t>Total Real Wealth</t>
        </is>
      </c>
      <c r="F19" s="21">
        <f>F10+F17</f>
        <v/>
      </c>
      <c r="G19" s="1" t="n"/>
    </row>
    <row r="20">
      <c r="A20" s="1" t="n"/>
      <c r="B20" s="6" t="inlineStr">
        <is>
          <t>Extraordinary Gains (E) oz</t>
        </is>
      </c>
      <c r="C20" s="13" t="n">
        <v>5000000</v>
      </c>
      <c r="D20" s="1" t="n"/>
      <c r="E20" s="22" t="inlineStr">
        <is>
          <t>(full number)</t>
        </is>
      </c>
      <c r="F20" s="23">
        <f>F19</f>
        <v/>
      </c>
      <c r="G20" s="1" t="n"/>
    </row>
    <row r="21">
      <c r="A21" s="1" t="n"/>
      <c r="B21" s="1" t="n"/>
      <c r="C21" s="1" t="n"/>
      <c r="D21" s="1" t="n"/>
      <c r="E21" s="1" t="n"/>
      <c r="F21" s="1" t="n"/>
      <c r="G21" s="1" t="n"/>
    </row>
    <row r="22">
      <c r="A22" s="1" t="n"/>
      <c r="B22" s="24" t="inlineStr">
        <is>
          <t>Valuation Settings</t>
        </is>
      </c>
      <c r="C22" s="1" t="n"/>
      <c r="D22" s="1" t="n"/>
      <c r="E22" s="20" t="inlineStr">
        <is>
          <t>Nominal Dollar Value</t>
        </is>
      </c>
      <c r="F22" s="25">
        <f>F19*C23</f>
        <v/>
      </c>
      <c r="G22" s="1" t="n"/>
    </row>
    <row r="23">
      <c r="A23" s="1" t="n"/>
      <c r="B23" s="6" t="inlineStr">
        <is>
          <t>Gold Price ($/oz)</t>
        </is>
      </c>
      <c r="C23" s="13" t="n">
        <v>2900</v>
      </c>
      <c r="D23" s="1" t="n"/>
      <c r="E23" s="22">
        <f>CONCATENATE("@ $",TEXT(C23,"#,##0"),"/oz")</f>
        <v/>
      </c>
      <c r="F23" s="26">
        <f>F22</f>
        <v/>
      </c>
      <c r="G23" s="1" t="n"/>
    </row>
    <row r="24">
      <c r="A24" s="1" t="n"/>
      <c r="B24" s="1" t="n"/>
      <c r="C24" s="1" t="n"/>
      <c r="D24" s="1" t="n"/>
      <c r="E24" s="1" t="n"/>
      <c r="F24" s="1" t="n"/>
      <c r="G24" s="1" t="n"/>
    </row>
    <row r="25">
      <c r="A25" s="1" t="n"/>
      <c r="B25" s="1" t="n"/>
      <c r="C25" s="1" t="n"/>
      <c r="D25" s="1" t="n"/>
      <c r="E25" s="27" t="inlineStr">
        <is>
          <t>CFO Dashboard</t>
        </is>
      </c>
      <c r="F25" s="1" t="n"/>
      <c r="G25" s="1" t="n"/>
    </row>
    <row r="26">
      <c r="A26" s="1" t="n"/>
      <c r="B26" s="1" t="n"/>
      <c r="C26" s="1" t="n"/>
      <c r="D26" s="1" t="n"/>
      <c r="E26" s="6" t="inlineStr">
        <is>
          <t>Income-to-Asset Ratio</t>
        </is>
      </c>
      <c r="F26" s="28">
        <f>IF(F17&gt;0,F10/F17,0)</f>
        <v/>
      </c>
      <c r="G26" s="1" t="n"/>
    </row>
    <row r="27">
      <c r="A27" s="1" t="n"/>
      <c r="B27" s="1" t="n"/>
      <c r="C27" s="1" t="n"/>
      <c r="D27" s="1" t="n"/>
      <c r="E27" s="6" t="inlineStr">
        <is>
          <t>Extraction Efficiency</t>
        </is>
      </c>
      <c r="F27" s="29">
        <f>C14</f>
        <v/>
      </c>
      <c r="G27" s="1" t="n"/>
    </row>
    <row r="28">
      <c r="A28" s="1" t="n"/>
      <c r="B28" s="1" t="n"/>
      <c r="C28" s="1" t="n"/>
      <c r="D28" s="1" t="n"/>
      <c r="E28" s="6" t="inlineStr">
        <is>
          <t>Per Capita Wealth</t>
        </is>
      </c>
      <c r="F28" s="30">
        <f>IF(C11&gt;0,F19/C11,0)</f>
        <v/>
      </c>
      <c r="G28" s="1" t="n"/>
    </row>
    <row r="29">
      <c r="A29" s="1" t="n"/>
      <c r="B29" s="1" t="n"/>
      <c r="C29" s="1" t="n"/>
      <c r="D29" s="1" t="n"/>
      <c r="E29" s="6" t="inlineStr">
        <is>
          <t>Annual Yield (AII / Total Wealth)</t>
        </is>
      </c>
      <c r="F29" s="31">
        <f>IF(F19&gt;0,F9/F19,0)</f>
        <v/>
      </c>
      <c r="G29" s="1" t="n"/>
    </row>
    <row r="30">
      <c r="A30" s="1" t="n"/>
      <c r="B30" s="1" t="n"/>
      <c r="C30" s="1" t="n"/>
      <c r="D30" s="1" t="n"/>
      <c r="E30" s="1" t="n"/>
      <c r="F30" s="1" t="n"/>
      <c r="G30" s="1" t="n"/>
    </row>
    <row r="31">
      <c r="A31" s="1" t="n"/>
      <c r="B31" s="1" t="n"/>
      <c r="C31" s="1" t="n"/>
      <c r="D31" s="1" t="n"/>
      <c r="E31" s="11" t="inlineStr">
        <is>
          <t>Wealth Composition</t>
        </is>
      </c>
      <c r="F31" s="1" t="n"/>
      <c r="G31" s="1" t="n"/>
    </row>
    <row r="32">
      <c r="A32" s="1" t="n"/>
      <c r="B32" s="1" t="n"/>
      <c r="C32" s="1" t="n"/>
      <c r="D32" s="1" t="n"/>
      <c r="E32" s="6" t="inlineStr">
        <is>
          <t>Income Wealth %</t>
        </is>
      </c>
      <c r="F32" s="32">
        <f>IF(F19&gt;0,F10/F19,0)</f>
        <v/>
      </c>
      <c r="G32" s="1" t="n"/>
    </row>
    <row r="33">
      <c r="A33" s="1" t="n"/>
      <c r="B33" s="1" t="n"/>
      <c r="C33" s="1" t="n"/>
      <c r="D33" s="1" t="n"/>
      <c r="E33" s="6" t="inlineStr">
        <is>
          <t>Asset Wealth %</t>
        </is>
      </c>
      <c r="F33" s="32">
        <f>IF(F19&gt;0,F17/F19,0)</f>
        <v/>
      </c>
      <c r="G33" s="1" t="n"/>
    </row>
    <row r="34">
      <c r="A34" s="1" t="n"/>
      <c r="B34" s="1" t="n"/>
      <c r="C34" s="1" t="n"/>
      <c r="D34" s="1" t="n"/>
      <c r="E34" s="1" t="n"/>
      <c r="F34" s="1" t="n"/>
      <c r="G34" s="1" t="n"/>
    </row>
    <row r="35">
      <c r="A35" s="1" t="n"/>
      <c r="B35" s="1" t="n"/>
      <c r="C35" s="1" t="n"/>
      <c r="D35" s="1" t="n"/>
      <c r="E35" s="33" t="inlineStr">
        <is>
          <t>Formulas Reference</t>
        </is>
      </c>
      <c r="F35" s="1" t="n"/>
      <c r="G35" s="1" t="n"/>
    </row>
    <row r="36">
      <c r="A36" s="1" t="n"/>
      <c r="B36" s="1" t="n"/>
      <c r="C36" s="1" t="n"/>
      <c r="D36" s="1" t="n"/>
      <c r="E36" s="34" t="inlineStr">
        <is>
          <t>AGR</t>
        </is>
      </c>
      <c r="F36" s="34" t="inlineStr">
        <is>
          <t>N × B × V</t>
        </is>
      </c>
      <c r="G36" s="1" t="n"/>
    </row>
    <row r="37">
      <c r="A37" s="1" t="n"/>
      <c r="B37" s="1" t="n"/>
      <c r="C37" s="1" t="n"/>
      <c r="D37" s="1" t="n"/>
      <c r="E37" s="34" t="inlineStr">
        <is>
          <t>AII</t>
        </is>
      </c>
      <c r="F37" s="34" t="inlineStr">
        <is>
          <t>AGR × M</t>
        </is>
      </c>
      <c r="G37" s="1" t="n"/>
    </row>
    <row r="38">
      <c r="A38" s="1" t="n"/>
      <c r="B38" s="1" t="n"/>
      <c r="C38" s="1" t="n"/>
      <c r="D38" s="1" t="n"/>
      <c r="E38" s="34" t="inlineStr">
        <is>
          <t>Income Wealth</t>
        </is>
      </c>
      <c r="F38" s="34" t="inlineStr">
        <is>
          <t>AII × K</t>
        </is>
      </c>
      <c r="G38" s="1" t="n"/>
    </row>
    <row r="39">
      <c r="A39" s="1" t="n"/>
      <c r="B39" s="1" t="n"/>
      <c r="C39" s="1" t="n"/>
      <c r="D39" s="1" t="n"/>
      <c r="E39" s="34" t="inlineStr">
        <is>
          <t>Infrastructure (I)</t>
        </is>
      </c>
      <c r="F39" s="34" t="inlineStr">
        <is>
          <t>(N × B) × 0.05</t>
        </is>
      </c>
      <c r="G39" s="1" t="n"/>
    </row>
    <row r="40">
      <c r="A40" s="1" t="n"/>
      <c r="B40" s="1" t="n"/>
      <c r="C40" s="1" t="n"/>
      <c r="D40" s="1" t="n"/>
      <c r="E40" s="34" t="inlineStr">
        <is>
          <t>Asset Wealth</t>
        </is>
      </c>
      <c r="F40" s="34" t="inlineStr">
        <is>
          <t>I + L + R + E</t>
        </is>
      </c>
      <c r="G40" s="1" t="n"/>
    </row>
    <row r="41">
      <c r="A41" s="1" t="n"/>
      <c r="B41" s="1" t="n"/>
      <c r="C41" s="1" t="n"/>
      <c r="D41" s="1" t="n"/>
      <c r="E41" s="34" t="inlineStr">
        <is>
          <t>Total Wealth</t>
        </is>
      </c>
      <c r="F41" s="34" t="inlineStr">
        <is>
          <t>Income Wealth + Asset Wealth</t>
        </is>
      </c>
      <c r="G41" s="1" t="n"/>
    </row>
    <row r="42">
      <c r="A42" s="1" t="n"/>
      <c r="B42" s="1" t="n"/>
      <c r="C42" s="1" t="n"/>
      <c r="D42" s="1" t="n"/>
      <c r="E42" s="1" t="n"/>
      <c r="F42" s="1" t="n"/>
      <c r="G42" s="1" t="n"/>
    </row>
    <row r="43">
      <c r="A43" s="1" t="n"/>
      <c r="B43" s="1" t="n"/>
      <c r="C43" s="1" t="n"/>
      <c r="D43" s="1" t="n"/>
      <c r="E43" s="1" t="n"/>
      <c r="F43" s="1" t="n"/>
      <c r="G43" s="1" t="n"/>
    </row>
    <row r="44">
      <c r="A44" s="1" t="n"/>
      <c r="B44" s="1" t="n"/>
      <c r="C44" s="1" t="n"/>
      <c r="D44" s="1" t="n"/>
      <c r="E44" s="1" t="n"/>
      <c r="F44" s="1" t="n"/>
      <c r="G44" s="1" t="n"/>
    </row>
    <row r="45">
      <c r="A45" s="1" t="n"/>
      <c r="B45" s="1" t="n"/>
      <c r="C45" s="1" t="n"/>
      <c r="D45" s="1" t="n"/>
      <c r="E45" s="1" t="n"/>
      <c r="F45" s="1" t="n"/>
      <c r="G45" s="1" t="n"/>
    </row>
    <row r="46">
      <c r="A46" s="1" t="n"/>
      <c r="B46" s="1" t="n"/>
      <c r="C46" s="1" t="n"/>
      <c r="D46" s="1" t="n"/>
      <c r="E46" s="1" t="n"/>
      <c r="F46" s="1" t="n"/>
      <c r="G46" s="1" t="n"/>
    </row>
  </sheetData>
  <mergeCells count="7">
    <mergeCell ref="E12:F12"/>
    <mergeCell ref="B2:F2"/>
    <mergeCell ref="E7:F7"/>
    <mergeCell ref="E25:F25"/>
    <mergeCell ref="B5:C5"/>
    <mergeCell ref="B3:F3"/>
    <mergeCell ref="E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</row>
    <row r="2">
      <c r="A2" s="1" t="n"/>
      <c r="B2" s="35" t="inlineStr">
        <is>
          <t>SAVE Comparison Table - Enter rulers in columns, results auto-calculate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</row>
    <row r="3">
      <c r="A3" s="1" t="n"/>
      <c r="B3" s="1" t="n"/>
      <c r="C3" s="36" t="inlineStr">
        <is>
          <t>Ruler 1</t>
        </is>
      </c>
      <c r="D3" s="36" t="inlineStr">
        <is>
          <t>Ruler 2</t>
        </is>
      </c>
      <c r="E3" s="36" t="inlineStr">
        <is>
          <t>Ruler 3</t>
        </is>
      </c>
      <c r="F3" s="36" t="inlineStr">
        <is>
          <t>Ruler 4</t>
        </is>
      </c>
      <c r="G3" s="36" t="inlineStr">
        <is>
          <t>Ruler 5</t>
        </is>
      </c>
      <c r="H3" s="36" t="inlineStr">
        <is>
          <t>Ruler 6</t>
        </is>
      </c>
      <c r="I3" s="36" t="inlineStr">
        <is>
          <t>Ruler 7</t>
        </is>
      </c>
      <c r="J3" s="36" t="inlineStr">
        <is>
          <t>Ruler 8</t>
        </is>
      </c>
      <c r="K3" s="36" t="inlineStr">
        <is>
          <t>Ruler 9</t>
        </is>
      </c>
      <c r="L3" s="36" t="inlineStr">
        <is>
          <t>Ruler 10</t>
        </is>
      </c>
      <c r="M3" s="36" t="inlineStr">
        <is>
          <t>Ruler 11</t>
        </is>
      </c>
      <c r="N3" s="36" t="inlineStr">
        <is>
          <t>Ruler 12</t>
        </is>
      </c>
      <c r="O3" s="36" t="inlineStr">
        <is>
          <t>Ruler 13</t>
        </is>
      </c>
      <c r="P3" s="36" t="inlineStr">
        <is>
          <t>Ruler 14</t>
        </is>
      </c>
      <c r="Q3" s="36" t="inlineStr">
        <is>
          <t>Ruler 15</t>
        </is>
      </c>
      <c r="R3" s="36" t="inlineStr">
        <is>
          <t>Ruler 16</t>
        </is>
      </c>
      <c r="S3" s="36" t="inlineStr">
        <is>
          <t>Ruler 17</t>
        </is>
      </c>
      <c r="T3" s="36" t="inlineStr">
        <is>
          <t>Ruler 18</t>
        </is>
      </c>
      <c r="U3" s="36" t="inlineStr">
        <is>
          <t>Ruler 19</t>
        </is>
      </c>
      <c r="V3" s="36" t="inlineStr">
        <is>
          <t>Ruler 20</t>
        </is>
      </c>
      <c r="W3" s="1" t="n"/>
    </row>
    <row r="4">
      <c r="A4" s="37" t="n">
        <v>1</v>
      </c>
      <c r="B4" s="38" t="inlineStr">
        <is>
          <t>INPUT PARAMETERS</t>
        </is>
      </c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  <c r="P4" s="39" t="n"/>
      <c r="Q4" s="39" t="n"/>
      <c r="R4" s="39" t="n"/>
      <c r="S4" s="39" t="n"/>
      <c r="T4" s="39" t="n"/>
      <c r="U4" s="39" t="n"/>
      <c r="V4" s="39" t="n"/>
      <c r="W4" s="1" t="n"/>
    </row>
    <row r="5">
      <c r="A5" s="37" t="n">
        <v>2</v>
      </c>
      <c r="B5" s="40" t="inlineStr">
        <is>
          <t>Ruler/Empire Name</t>
        </is>
      </c>
      <c r="C5" s="41" t="inlineStr">
        <is>
          <t>Akbar the Great (Mughal Empire)</t>
        </is>
      </c>
      <c r="D5" s="41" t="inlineStr">
        <is>
          <t>Mansa Musa I (Mali Empire)</t>
        </is>
      </c>
      <c r="E5" s="41" t="n"/>
      <c r="F5" s="41" t="n"/>
      <c r="G5" s="41" t="n"/>
      <c r="H5" s="41" t="n"/>
      <c r="I5" s="41" t="n"/>
      <c r="J5" s="41" t="n"/>
      <c r="K5" s="41" t="n"/>
      <c r="L5" s="41" t="n"/>
      <c r="M5" s="41" t="n"/>
      <c r="N5" s="41" t="n"/>
      <c r="O5" s="41" t="n"/>
      <c r="P5" s="41" t="n"/>
      <c r="Q5" s="41" t="n"/>
      <c r="R5" s="41" t="n"/>
      <c r="S5" s="41" t="n"/>
      <c r="T5" s="41" t="n"/>
      <c r="U5" s="41" t="n"/>
      <c r="V5" s="41" t="n"/>
      <c r="W5" s="1" t="n"/>
    </row>
    <row r="6">
      <c r="A6" s="37" t="n">
        <v>3</v>
      </c>
      <c r="B6" s="40" t="inlineStr">
        <is>
          <t>Year</t>
        </is>
      </c>
      <c r="C6" s="42" t="n">
        <v>1600</v>
      </c>
      <c r="D6" s="42" t="n">
        <v>1324</v>
      </c>
      <c r="E6" s="42" t="n"/>
      <c r="F6" s="42" t="n"/>
      <c r="G6" s="42" t="n"/>
      <c r="H6" s="42" t="n"/>
      <c r="I6" s="42" t="n"/>
      <c r="J6" s="42" t="n"/>
      <c r="K6" s="42" t="n"/>
      <c r="L6" s="42" t="n"/>
      <c r="M6" s="42" t="n"/>
      <c r="N6" s="42" t="n"/>
      <c r="O6" s="42" t="n"/>
      <c r="P6" s="42" t="n"/>
      <c r="Q6" s="42" t="n"/>
      <c r="R6" s="42" t="n"/>
      <c r="S6" s="42" t="n"/>
      <c r="T6" s="42" t="n"/>
      <c r="U6" s="42" t="n"/>
      <c r="V6" s="42" t="n"/>
      <c r="W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</row>
    <row r="8">
      <c r="A8" s="37" t="n">
        <v>5</v>
      </c>
      <c r="B8" s="43" t="inlineStr">
        <is>
          <t>Income Parameters</t>
        </is>
      </c>
      <c r="C8" s="44" t="n">
        <v>110000000</v>
      </c>
      <c r="D8" s="44" t="n">
        <v>20000000</v>
      </c>
      <c r="E8" s="44" t="n"/>
      <c r="F8" s="44" t="n"/>
      <c r="G8" s="44" t="n"/>
      <c r="H8" s="44" t="n"/>
      <c r="I8" s="44" t="n"/>
      <c r="J8" s="44" t="n"/>
      <c r="K8" s="44" t="n"/>
      <c r="L8" s="44" t="n"/>
      <c r="M8" s="44" t="n"/>
      <c r="N8" s="44" t="n"/>
      <c r="O8" s="44" t="n"/>
      <c r="P8" s="44" t="n"/>
      <c r="Q8" s="44" t="n"/>
      <c r="R8" s="44" t="n"/>
      <c r="S8" s="44" t="n"/>
      <c r="T8" s="44" t="n"/>
      <c r="U8" s="44" t="n"/>
      <c r="V8" s="44" t="n"/>
      <c r="W8" s="1" t="n"/>
    </row>
    <row r="9">
      <c r="A9" s="37" t="n">
        <v>6</v>
      </c>
      <c r="B9" s="40" t="inlineStr">
        <is>
          <t>Population (N)</t>
        </is>
      </c>
      <c r="C9" s="45" t="n">
        <v>0.75</v>
      </c>
      <c r="D9" s="45" t="n">
        <v>0.8</v>
      </c>
      <c r="E9" s="45" t="n"/>
      <c r="F9" s="45" t="n"/>
      <c r="G9" s="45" t="n"/>
      <c r="H9" s="45" t="n"/>
      <c r="I9" s="45" t="n"/>
      <c r="J9" s="45" t="n"/>
      <c r="K9" s="45" t="n"/>
      <c r="L9" s="45" t="n"/>
      <c r="M9" s="45" t="n"/>
      <c r="N9" s="45" t="n"/>
      <c r="O9" s="45" t="n"/>
      <c r="P9" s="45" t="n"/>
      <c r="Q9" s="45" t="n"/>
      <c r="R9" s="45" t="n"/>
      <c r="S9" s="45" t="n"/>
      <c r="T9" s="45" t="n"/>
      <c r="U9" s="45" t="n"/>
      <c r="V9" s="45" t="n"/>
      <c r="W9" s="1" t="n"/>
    </row>
    <row r="10">
      <c r="A10" s="37" t="n">
        <v>7</v>
      </c>
      <c r="B10" s="40" t="inlineStr">
        <is>
          <t>Base Output (B) oz/person/yr</t>
        </is>
      </c>
      <c r="C10" s="46" t="n">
        <v>4.5</v>
      </c>
      <c r="D10" s="46" t="n">
        <v>4</v>
      </c>
      <c r="E10" s="46" t="n"/>
      <c r="F10" s="46" t="n"/>
      <c r="G10" s="46" t="n"/>
      <c r="H10" s="46" t="n"/>
      <c r="I10" s="46" t="n"/>
      <c r="J10" s="46" t="n"/>
      <c r="K10" s="46" t="n"/>
      <c r="L10" s="46" t="n"/>
      <c r="M10" s="46" t="n"/>
      <c r="N10" s="46" t="n"/>
      <c r="O10" s="46" t="n"/>
      <c r="P10" s="46" t="n"/>
      <c r="Q10" s="46" t="n"/>
      <c r="R10" s="46" t="n"/>
      <c r="S10" s="46" t="n"/>
      <c r="T10" s="46" t="n"/>
      <c r="U10" s="46" t="n"/>
      <c r="V10" s="46" t="n"/>
      <c r="W10" s="1" t="n"/>
    </row>
    <row r="11">
      <c r="A11" s="37" t="n">
        <v>8</v>
      </c>
      <c r="B11" s="40" t="inlineStr">
        <is>
          <t>Velocity (V)</t>
        </is>
      </c>
      <c r="C11" s="47" t="n">
        <v>0.1</v>
      </c>
      <c r="D11" s="47" t="n">
        <v>0.15</v>
      </c>
      <c r="E11" s="47" t="n"/>
      <c r="F11" s="47" t="n"/>
      <c r="G11" s="47" t="n"/>
      <c r="H11" s="47" t="n"/>
      <c r="I11" s="47" t="n"/>
      <c r="J11" s="47" t="n"/>
      <c r="K11" s="47" t="n"/>
      <c r="L11" s="47" t="n"/>
      <c r="M11" s="47" t="n"/>
      <c r="N11" s="47" t="n"/>
      <c r="O11" s="47" t="n"/>
      <c r="P11" s="47" t="n"/>
      <c r="Q11" s="47" t="n"/>
      <c r="R11" s="47" t="n"/>
      <c r="S11" s="47" t="n"/>
      <c r="T11" s="47" t="n"/>
      <c r="U11" s="47" t="n"/>
      <c r="V11" s="47" t="n"/>
      <c r="W11" s="1" t="n"/>
    </row>
    <row r="12">
      <c r="A12" s="37" t="n">
        <v>9</v>
      </c>
      <c r="B12" s="40" t="inlineStr">
        <is>
          <t>Extraction Margin (M)</t>
        </is>
      </c>
      <c r="C12" s="46" t="n">
        <v>20</v>
      </c>
      <c r="D12" s="46" t="n">
        <v>20</v>
      </c>
      <c r="E12" s="46" t="n"/>
      <c r="F12" s="46" t="n"/>
      <c r="G12" s="46" t="n"/>
      <c r="H12" s="46" t="n"/>
      <c r="I12" s="46" t="n"/>
      <c r="J12" s="46" t="n"/>
      <c r="K12" s="46" t="n"/>
      <c r="L12" s="46" t="n"/>
      <c r="M12" s="46" t="n"/>
      <c r="N12" s="46" t="n"/>
      <c r="O12" s="46" t="n"/>
      <c r="P12" s="46" t="n"/>
      <c r="Q12" s="46" t="n"/>
      <c r="R12" s="46" t="n"/>
      <c r="S12" s="46" t="n"/>
      <c r="T12" s="46" t="n"/>
      <c r="U12" s="46" t="n"/>
      <c r="V12" s="46" t="n"/>
      <c r="W12" s="1" t="n"/>
    </row>
    <row r="13">
      <c r="A13" s="37" t="n">
        <v>10</v>
      </c>
      <c r="B13" s="40" t="inlineStr">
        <is>
          <t>Capitalization Multiple (K)</t>
        </is>
      </c>
      <c r="C13" s="42" t="n"/>
      <c r="D13" s="42" t="n"/>
      <c r="E13" s="42" t="n"/>
      <c r="F13" s="42" t="n"/>
      <c r="G13" s="42" t="n"/>
      <c r="H13" s="42" t="n"/>
      <c r="I13" s="42" t="n"/>
      <c r="J13" s="42" t="n"/>
      <c r="K13" s="42" t="n"/>
      <c r="L13" s="42" t="n"/>
      <c r="M13" s="42" t="n"/>
      <c r="N13" s="42" t="n"/>
      <c r="O13" s="42" t="n"/>
      <c r="P13" s="42" t="n"/>
      <c r="Q13" s="42" t="n"/>
      <c r="R13" s="42" t="n"/>
      <c r="S13" s="42" t="n"/>
      <c r="T13" s="42" t="n"/>
      <c r="U13" s="42" t="n"/>
      <c r="V13" s="42" t="n"/>
      <c r="W13" s="1" t="n"/>
    </row>
    <row r="14">
      <c r="A14" s="1" t="n"/>
      <c r="B14" s="1" t="n"/>
      <c r="C14" s="1" t="n">
        <v>50000000</v>
      </c>
      <c r="D14" s="1" t="n">
        <v>16000000</v>
      </c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</row>
    <row r="15">
      <c r="A15" s="37" t="n">
        <v>12</v>
      </c>
      <c r="B15" s="48" t="inlineStr">
        <is>
          <t>Asset Parameters</t>
        </is>
      </c>
      <c r="C15" s="49" t="n">
        <v>10000000</v>
      </c>
      <c r="D15" s="49" t="n">
        <v>0</v>
      </c>
      <c r="E15" s="49" t="n"/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1" t="n"/>
    </row>
    <row r="16">
      <c r="A16" s="37" t="n">
        <v>13</v>
      </c>
      <c r="B16" s="40" t="inlineStr">
        <is>
          <t>Liquid Treasury (L) oz</t>
        </is>
      </c>
      <c r="C16" s="45" t="n">
        <v>5000000</v>
      </c>
      <c r="D16" s="45" t="n">
        <v>0</v>
      </c>
      <c r="E16" s="45" t="n"/>
      <c r="F16" s="45" t="n"/>
      <c r="G16" s="45" t="n"/>
      <c r="H16" s="45" t="n"/>
      <c r="I16" s="45" t="n"/>
      <c r="J16" s="45" t="n"/>
      <c r="K16" s="45" t="n"/>
      <c r="L16" s="45" t="n"/>
      <c r="M16" s="45" t="n"/>
      <c r="N16" s="45" t="n"/>
      <c r="O16" s="45" t="n"/>
      <c r="P16" s="45" t="n"/>
      <c r="Q16" s="45" t="n"/>
      <c r="R16" s="45" t="n"/>
      <c r="S16" s="45" t="n"/>
      <c r="T16" s="45" t="n"/>
      <c r="U16" s="45" t="n"/>
      <c r="V16" s="45" t="n"/>
      <c r="W16" s="1" t="n"/>
    </row>
    <row r="17">
      <c r="A17" s="37" t="n">
        <v>14</v>
      </c>
      <c r="B17" s="40" t="inlineStr">
        <is>
          <t>Imperial Real Estate (R) oz</t>
        </is>
      </c>
      <c r="C17" s="45" t="n"/>
      <c r="D17" s="45" t="n"/>
      <c r="E17" s="45" t="n"/>
      <c r="F17" s="45" t="n"/>
      <c r="G17" s="45" t="n"/>
      <c r="H17" s="45" t="n"/>
      <c r="I17" s="45" t="n"/>
      <c r="J17" s="45" t="n"/>
      <c r="K17" s="45" t="n"/>
      <c r="L17" s="45" t="n"/>
      <c r="M17" s="45" t="n"/>
      <c r="N17" s="45" t="n"/>
      <c r="O17" s="45" t="n"/>
      <c r="P17" s="45" t="n"/>
      <c r="Q17" s="45" t="n"/>
      <c r="R17" s="45" t="n"/>
      <c r="S17" s="45" t="n"/>
      <c r="T17" s="45" t="n"/>
      <c r="U17" s="45" t="n"/>
      <c r="V17" s="45" t="n"/>
      <c r="W17" s="1" t="n"/>
    </row>
    <row r="18">
      <c r="A18" s="37" t="n">
        <v>15</v>
      </c>
      <c r="B18" s="40" t="inlineStr">
        <is>
          <t>Extraordinary Gains (E) oz</t>
        </is>
      </c>
      <c r="C18" s="45" t="n">
        <v>2900</v>
      </c>
      <c r="D18" s="45" t="n">
        <v>2900</v>
      </c>
      <c r="E18" s="45" t="n"/>
      <c r="F18" s="45" t="n"/>
      <c r="G18" s="45" t="n"/>
      <c r="H18" s="45" t="n"/>
      <c r="I18" s="45" t="n"/>
      <c r="J18" s="45" t="n"/>
      <c r="K18" s="45" t="n"/>
      <c r="L18" s="45" t="n"/>
      <c r="M18" s="45" t="n"/>
      <c r="N18" s="45" t="n"/>
      <c r="O18" s="45" t="n"/>
      <c r="P18" s="45" t="n"/>
      <c r="Q18" s="45" t="n"/>
      <c r="R18" s="45" t="n"/>
      <c r="S18" s="45" t="n"/>
      <c r="T18" s="45" t="n"/>
      <c r="U18" s="45" t="n"/>
      <c r="V18" s="45" t="n"/>
      <c r="W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</row>
    <row r="20">
      <c r="A20" s="37" t="n">
        <v>17</v>
      </c>
      <c r="B20" s="50" t="inlineStr">
        <is>
          <t>Settings</t>
        </is>
      </c>
      <c r="C20" s="39" t="n"/>
      <c r="D20" s="39" t="n"/>
      <c r="E20" s="39" t="n"/>
      <c r="F20" s="39" t="n"/>
      <c r="G20" s="39" t="n"/>
      <c r="H20" s="39" t="n"/>
      <c r="I20" s="39" t="n"/>
      <c r="J20" s="39" t="n"/>
      <c r="K20" s="39" t="n"/>
      <c r="L20" s="39" t="n"/>
      <c r="M20" s="39" t="n"/>
      <c r="N20" s="39" t="n"/>
      <c r="O20" s="39" t="n"/>
      <c r="P20" s="39" t="n"/>
      <c r="Q20" s="39" t="n"/>
      <c r="R20" s="39" t="n"/>
      <c r="S20" s="39" t="n"/>
      <c r="T20" s="39" t="n"/>
      <c r="U20" s="39" t="n"/>
      <c r="V20" s="39" t="n"/>
      <c r="W20" s="1" t="n"/>
    </row>
    <row r="21">
      <c r="A21" s="37" t="n">
        <v>18</v>
      </c>
      <c r="B21" s="40" t="inlineStr">
        <is>
          <t>Gold Price ($/oz)</t>
        </is>
      </c>
      <c r="C21" s="45" t="n"/>
      <c r="D21" s="45" t="n"/>
      <c r="E21" s="45" t="n"/>
      <c r="F21" s="45" t="n"/>
      <c r="G21" s="45" t="n"/>
      <c r="H21" s="45" t="n"/>
      <c r="I21" s="45" t="n"/>
      <c r="J21" s="45" t="n"/>
      <c r="K21" s="45" t="n"/>
      <c r="L21" s="45" t="n"/>
      <c r="M21" s="45" t="n"/>
      <c r="N21" s="45" t="n"/>
      <c r="O21" s="45" t="n"/>
      <c r="P21" s="45" t="n"/>
      <c r="Q21" s="45" t="n"/>
      <c r="R21" s="45" t="n"/>
      <c r="S21" s="45" t="n"/>
      <c r="T21" s="45" t="n"/>
      <c r="U21" s="45" t="n"/>
      <c r="V21" s="45" t="n"/>
      <c r="W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</row>
    <row r="23">
      <c r="A23" s="37" t="n">
        <v>20</v>
      </c>
      <c r="B23" s="51" t="inlineStr">
        <is>
          <t>INCOME VALUATION</t>
        </is>
      </c>
      <c r="C23" s="44" t="n"/>
      <c r="D23" s="44" t="n"/>
      <c r="E23" s="44" t="n"/>
      <c r="F23" s="44" t="n"/>
      <c r="G23" s="44" t="n"/>
      <c r="H23" s="44" t="n"/>
      <c r="I23" s="44" t="n"/>
      <c r="J23" s="44" t="n"/>
      <c r="K23" s="44" t="n"/>
      <c r="L23" s="44" t="n"/>
      <c r="M23" s="44" t="n"/>
      <c r="N23" s="44" t="n"/>
      <c r="O23" s="44" t="n"/>
      <c r="P23" s="44" t="n"/>
      <c r="Q23" s="44" t="n"/>
      <c r="R23" s="44" t="n"/>
      <c r="S23" s="44" t="n"/>
      <c r="T23" s="44" t="n"/>
      <c r="U23" s="44" t="n"/>
      <c r="V23" s="44" t="n"/>
      <c r="W23" s="1" t="n"/>
    </row>
    <row r="24">
      <c r="A24" s="37" t="n">
        <v>21</v>
      </c>
      <c r="B24" s="52" t="inlineStr">
        <is>
          <t>Annual Gross Revenue (AGR)</t>
        </is>
      </c>
      <c r="C24" s="44">
        <f>IF(C9&gt;0,C9*C10*C11,"")</f>
        <v/>
      </c>
      <c r="D24" s="44">
        <f>IF(D9&gt;0,D9*D10*D11,"")</f>
        <v/>
      </c>
      <c r="E24" s="44">
        <f>IF(E9&gt;0,E9*E10*E11,"")</f>
        <v/>
      </c>
      <c r="F24" s="44">
        <f>IF(F9&gt;0,F9*F10*F11,"")</f>
        <v/>
      </c>
      <c r="G24" s="44">
        <f>IF(G9&gt;0,G9*G10*G11,"")</f>
        <v/>
      </c>
      <c r="H24" s="44">
        <f>IF(H9&gt;0,H9*H10*H11,"")</f>
        <v/>
      </c>
      <c r="I24" s="44">
        <f>IF(I9&gt;0,I9*I10*I11,"")</f>
        <v/>
      </c>
      <c r="J24" s="44">
        <f>IF(J9&gt;0,J9*J10*J11,"")</f>
        <v/>
      </c>
      <c r="K24" s="44">
        <f>IF(K9&gt;0,K9*K10*K11,"")</f>
        <v/>
      </c>
      <c r="L24" s="44">
        <f>IF(L9&gt;0,L9*L10*L11,"")</f>
        <v/>
      </c>
      <c r="M24" s="44">
        <f>IF(M9&gt;0,M9*M10*M11,"")</f>
        <v/>
      </c>
      <c r="N24" s="44">
        <f>IF(N9&gt;0,N9*N10*N11,"")</f>
        <v/>
      </c>
      <c r="O24" s="44">
        <f>IF(O9&gt;0,O9*O10*O11,"")</f>
        <v/>
      </c>
      <c r="P24" s="44">
        <f>IF(P9&gt;0,P9*P10*P11,"")</f>
        <v/>
      </c>
      <c r="Q24" s="44">
        <f>IF(Q9&gt;0,Q9*Q10*Q11,"")</f>
        <v/>
      </c>
      <c r="R24" s="44">
        <f>IF(R9&gt;0,R9*R10*R11,"")</f>
        <v/>
      </c>
      <c r="S24" s="44">
        <f>IF(S9&gt;0,S9*S10*S11,"")</f>
        <v/>
      </c>
      <c r="T24" s="44">
        <f>IF(T9&gt;0,T9*T10*T11,"")</f>
        <v/>
      </c>
      <c r="U24" s="44">
        <f>IF(U9&gt;0,U9*U10*U11,"")</f>
        <v/>
      </c>
      <c r="V24" s="44">
        <f>IF(V9&gt;0,V9*V10*V11,"")</f>
        <v/>
      </c>
      <c r="W24" s="1" t="n"/>
    </row>
    <row r="25">
      <c r="A25" s="37" t="n">
        <v>22</v>
      </c>
      <c r="B25" s="52" t="inlineStr">
        <is>
          <t>Annual Imperial Income (AII)</t>
        </is>
      </c>
      <c r="C25" s="44">
        <f>IF(C24&lt;&gt;"",C24*C12,"")</f>
        <v/>
      </c>
      <c r="D25" s="44">
        <f>IF(D24&lt;&gt;"",D24*D12,"")</f>
        <v/>
      </c>
      <c r="E25" s="44">
        <f>IF(E24&lt;&gt;"",E24*E12,"")</f>
        <v/>
      </c>
      <c r="F25" s="44">
        <f>IF(F24&lt;&gt;"",F24*F12,"")</f>
        <v/>
      </c>
      <c r="G25" s="44">
        <f>IF(G24&lt;&gt;"",G24*G12,"")</f>
        <v/>
      </c>
      <c r="H25" s="44">
        <f>IF(H24&lt;&gt;"",H24*H12,"")</f>
        <v/>
      </c>
      <c r="I25" s="44">
        <f>IF(I24&lt;&gt;"",I24*I12,"")</f>
        <v/>
      </c>
      <c r="J25" s="44">
        <f>IF(J24&lt;&gt;"",J24*J12,"")</f>
        <v/>
      </c>
      <c r="K25" s="44">
        <f>IF(K24&lt;&gt;"",K24*K12,"")</f>
        <v/>
      </c>
      <c r="L25" s="44">
        <f>IF(L24&lt;&gt;"",L24*L12,"")</f>
        <v/>
      </c>
      <c r="M25" s="44">
        <f>IF(M24&lt;&gt;"",M24*M12,"")</f>
        <v/>
      </c>
      <c r="N25" s="44">
        <f>IF(N24&lt;&gt;"",N24*N12,"")</f>
        <v/>
      </c>
      <c r="O25" s="44">
        <f>IF(O24&lt;&gt;"",O24*O12,"")</f>
        <v/>
      </c>
      <c r="P25" s="44">
        <f>IF(P24&lt;&gt;"",P24*P12,"")</f>
        <v/>
      </c>
      <c r="Q25" s="44">
        <f>IF(Q24&lt;&gt;"",Q24*Q12,"")</f>
        <v/>
      </c>
      <c r="R25" s="44">
        <f>IF(R24&lt;&gt;"",R24*R12,"")</f>
        <v/>
      </c>
      <c r="S25" s="44">
        <f>IF(S24&lt;&gt;"",S24*S12,"")</f>
        <v/>
      </c>
      <c r="T25" s="44">
        <f>IF(T24&lt;&gt;"",T24*T12,"")</f>
        <v/>
      </c>
      <c r="U25" s="44">
        <f>IF(U24&lt;&gt;"",U24*U12,"")</f>
        <v/>
      </c>
      <c r="V25" s="44">
        <f>IF(V24&lt;&gt;"",V24*V12,"")</f>
        <v/>
      </c>
      <c r="W25" s="1" t="n"/>
    </row>
    <row r="26">
      <c r="A26" s="37" t="n">
        <v>23</v>
      </c>
      <c r="B26" s="51" t="inlineStr">
        <is>
          <t>Income Wealth (AII × K)</t>
        </is>
      </c>
      <c r="C26" s="53">
        <f>IF(C25&lt;&gt;"",C25*C13,"")</f>
        <v/>
      </c>
      <c r="D26" s="53">
        <f>IF(D25&lt;&gt;"",D25*D13,"")</f>
        <v/>
      </c>
      <c r="E26" s="53">
        <f>IF(E25&lt;&gt;"",E25*E13,"")</f>
        <v/>
      </c>
      <c r="F26" s="53">
        <f>IF(F25&lt;&gt;"",F25*F13,"")</f>
        <v/>
      </c>
      <c r="G26" s="53">
        <f>IF(G25&lt;&gt;"",G25*G13,"")</f>
        <v/>
      </c>
      <c r="H26" s="53">
        <f>IF(H25&lt;&gt;"",H25*H13,"")</f>
        <v/>
      </c>
      <c r="I26" s="53">
        <f>IF(I25&lt;&gt;"",I25*I13,"")</f>
        <v/>
      </c>
      <c r="J26" s="53">
        <f>IF(J25&lt;&gt;"",J25*J13,"")</f>
        <v/>
      </c>
      <c r="K26" s="53">
        <f>IF(K25&lt;&gt;"",K25*K13,"")</f>
        <v/>
      </c>
      <c r="L26" s="53">
        <f>IF(L25&lt;&gt;"",L25*L13,"")</f>
        <v/>
      </c>
      <c r="M26" s="53">
        <f>IF(M25&lt;&gt;"",M25*M13,"")</f>
        <v/>
      </c>
      <c r="N26" s="53">
        <f>IF(N25&lt;&gt;"",N25*N13,"")</f>
        <v/>
      </c>
      <c r="O26" s="53">
        <f>IF(O25&lt;&gt;"",O25*O13,"")</f>
        <v/>
      </c>
      <c r="P26" s="53">
        <f>IF(P25&lt;&gt;"",P25*P13,"")</f>
        <v/>
      </c>
      <c r="Q26" s="53">
        <f>IF(Q25&lt;&gt;"",Q25*Q13,"")</f>
        <v/>
      </c>
      <c r="R26" s="53">
        <f>IF(R25&lt;&gt;"",R25*R13,"")</f>
        <v/>
      </c>
      <c r="S26" s="53">
        <f>IF(S25&lt;&gt;"",S25*S13,"")</f>
        <v/>
      </c>
      <c r="T26" s="53">
        <f>IF(T25&lt;&gt;"",T25*T13,"")</f>
        <v/>
      </c>
      <c r="U26" s="53">
        <f>IF(U25&lt;&gt;"",U25*U13,"")</f>
        <v/>
      </c>
      <c r="V26" s="53">
        <f>IF(V25&lt;&gt;"",V25*V13,"")</f>
        <v/>
      </c>
      <c r="W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</row>
    <row r="28">
      <c r="A28" s="37" t="n">
        <v>25</v>
      </c>
      <c r="B28" s="54" t="inlineStr">
        <is>
          <t>ASSET VALUATION</t>
        </is>
      </c>
      <c r="C28" s="49" t="n"/>
      <c r="D28" s="49" t="n"/>
      <c r="E28" s="49" t="n"/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1" t="n"/>
    </row>
    <row r="29">
      <c r="A29" s="37" t="n">
        <v>26</v>
      </c>
      <c r="B29" s="55" t="inlineStr">
        <is>
          <t>Infrastructure Floor (I)</t>
        </is>
      </c>
      <c r="C29" s="49">
        <f>IF(C9&gt;0,(C9*C10)*0.05,"")</f>
        <v/>
      </c>
      <c r="D29" s="49">
        <f>IF(D9&gt;0,(D9*D10)*0.05,"")</f>
        <v/>
      </c>
      <c r="E29" s="49">
        <f>IF(E9&gt;0,(E9*E10)*0.05,"")</f>
        <v/>
      </c>
      <c r="F29" s="49">
        <f>IF(F9&gt;0,(F9*F10)*0.05,"")</f>
        <v/>
      </c>
      <c r="G29" s="49">
        <f>IF(G9&gt;0,(G9*G10)*0.05,"")</f>
        <v/>
      </c>
      <c r="H29" s="49">
        <f>IF(H9&gt;0,(H9*H10)*0.05,"")</f>
        <v/>
      </c>
      <c r="I29" s="49">
        <f>IF(I9&gt;0,(I9*I10)*0.05,"")</f>
        <v/>
      </c>
      <c r="J29" s="49">
        <f>IF(J9&gt;0,(J9*J10)*0.05,"")</f>
        <v/>
      </c>
      <c r="K29" s="49">
        <f>IF(K9&gt;0,(K9*K10)*0.05,"")</f>
        <v/>
      </c>
      <c r="L29" s="49">
        <f>IF(L9&gt;0,(L9*L10)*0.05,"")</f>
        <v/>
      </c>
      <c r="M29" s="49">
        <f>IF(M9&gt;0,(M9*M10)*0.05,"")</f>
        <v/>
      </c>
      <c r="N29" s="49">
        <f>IF(N9&gt;0,(N9*N10)*0.05,"")</f>
        <v/>
      </c>
      <c r="O29" s="49">
        <f>IF(O9&gt;0,(O9*O10)*0.05,"")</f>
        <v/>
      </c>
      <c r="P29" s="49">
        <f>IF(P9&gt;0,(P9*P10)*0.05,"")</f>
        <v/>
      </c>
      <c r="Q29" s="49">
        <f>IF(Q9&gt;0,(Q9*Q10)*0.05,"")</f>
        <v/>
      </c>
      <c r="R29" s="49">
        <f>IF(R9&gt;0,(R9*R10)*0.05,"")</f>
        <v/>
      </c>
      <c r="S29" s="49">
        <f>IF(S9&gt;0,(S9*S10)*0.05,"")</f>
        <v/>
      </c>
      <c r="T29" s="49">
        <f>IF(T9&gt;0,(T9*T10)*0.05,"")</f>
        <v/>
      </c>
      <c r="U29" s="49">
        <f>IF(U9&gt;0,(U9*U10)*0.05,"")</f>
        <v/>
      </c>
      <c r="V29" s="49">
        <f>IF(V9&gt;0,(V9*V10)*0.05,"")</f>
        <v/>
      </c>
      <c r="W29" s="1" t="n"/>
    </row>
    <row r="30">
      <c r="A30" s="37" t="n">
        <v>27</v>
      </c>
      <c r="B30" s="55" t="inlineStr">
        <is>
          <t>+ Liquid Treasury (L)</t>
        </is>
      </c>
      <c r="C30" s="49">
        <f>IF(C16&lt;&gt;"",C16,"")</f>
        <v/>
      </c>
      <c r="D30" s="49">
        <f>IF(D16&lt;&gt;"",D16,"")</f>
        <v/>
      </c>
      <c r="E30" s="49">
        <f>IF(E16&lt;&gt;"",E16,"")</f>
        <v/>
      </c>
      <c r="F30" s="49">
        <f>IF(F16&lt;&gt;"",F16,"")</f>
        <v/>
      </c>
      <c r="G30" s="49">
        <f>IF(G16&lt;&gt;"",G16,"")</f>
        <v/>
      </c>
      <c r="H30" s="49">
        <f>IF(H16&lt;&gt;"",H16,"")</f>
        <v/>
      </c>
      <c r="I30" s="49">
        <f>IF(I16&lt;&gt;"",I16,"")</f>
        <v/>
      </c>
      <c r="J30" s="49">
        <f>IF(J16&lt;&gt;"",J16,"")</f>
        <v/>
      </c>
      <c r="K30" s="49">
        <f>IF(K16&lt;&gt;"",K16,"")</f>
        <v/>
      </c>
      <c r="L30" s="49">
        <f>IF(L16&lt;&gt;"",L16,"")</f>
        <v/>
      </c>
      <c r="M30" s="49">
        <f>IF(M16&lt;&gt;"",M16,"")</f>
        <v/>
      </c>
      <c r="N30" s="49">
        <f>IF(N16&lt;&gt;"",N16,"")</f>
        <v/>
      </c>
      <c r="O30" s="49">
        <f>IF(O16&lt;&gt;"",O16,"")</f>
        <v/>
      </c>
      <c r="P30" s="49">
        <f>IF(P16&lt;&gt;"",P16,"")</f>
        <v/>
      </c>
      <c r="Q30" s="49">
        <f>IF(Q16&lt;&gt;"",Q16,"")</f>
        <v/>
      </c>
      <c r="R30" s="49">
        <f>IF(R16&lt;&gt;"",R16,"")</f>
        <v/>
      </c>
      <c r="S30" s="49">
        <f>IF(S16&lt;&gt;"",S16,"")</f>
        <v/>
      </c>
      <c r="T30" s="49">
        <f>IF(T16&lt;&gt;"",T16,"")</f>
        <v/>
      </c>
      <c r="U30" s="49">
        <f>IF(U16&lt;&gt;"",U16,"")</f>
        <v/>
      </c>
      <c r="V30" s="49">
        <f>IF(V16&lt;&gt;"",V16,"")</f>
        <v/>
      </c>
      <c r="W30" s="1" t="n"/>
    </row>
    <row r="31">
      <c r="A31" s="37" t="n">
        <v>28</v>
      </c>
      <c r="B31" s="55" t="inlineStr">
        <is>
          <t>+ Imperial Real Estate (R)</t>
        </is>
      </c>
      <c r="C31" s="49">
        <f>IF(C17&lt;&gt;"",C17,"")</f>
        <v/>
      </c>
      <c r="D31" s="49">
        <f>IF(D17&lt;&gt;"",D17,"")</f>
        <v/>
      </c>
      <c r="E31" s="49">
        <f>IF(E17&lt;&gt;"",E17,"")</f>
        <v/>
      </c>
      <c r="F31" s="49">
        <f>IF(F17&lt;&gt;"",F17,"")</f>
        <v/>
      </c>
      <c r="G31" s="49">
        <f>IF(G17&lt;&gt;"",G17,"")</f>
        <v/>
      </c>
      <c r="H31" s="49">
        <f>IF(H17&lt;&gt;"",H17,"")</f>
        <v/>
      </c>
      <c r="I31" s="49">
        <f>IF(I17&lt;&gt;"",I17,"")</f>
        <v/>
      </c>
      <c r="J31" s="49">
        <f>IF(J17&lt;&gt;"",J17,"")</f>
        <v/>
      </c>
      <c r="K31" s="49">
        <f>IF(K17&lt;&gt;"",K17,"")</f>
        <v/>
      </c>
      <c r="L31" s="49">
        <f>IF(L17&lt;&gt;"",L17,"")</f>
        <v/>
      </c>
      <c r="M31" s="49">
        <f>IF(M17&lt;&gt;"",M17,"")</f>
        <v/>
      </c>
      <c r="N31" s="49">
        <f>IF(N17&lt;&gt;"",N17,"")</f>
        <v/>
      </c>
      <c r="O31" s="49">
        <f>IF(O17&lt;&gt;"",O17,"")</f>
        <v/>
      </c>
      <c r="P31" s="49">
        <f>IF(P17&lt;&gt;"",P17,"")</f>
        <v/>
      </c>
      <c r="Q31" s="49">
        <f>IF(Q17&lt;&gt;"",Q17,"")</f>
        <v/>
      </c>
      <c r="R31" s="49">
        <f>IF(R17&lt;&gt;"",R17,"")</f>
        <v/>
      </c>
      <c r="S31" s="49">
        <f>IF(S17&lt;&gt;"",S17,"")</f>
        <v/>
      </c>
      <c r="T31" s="49">
        <f>IF(T17&lt;&gt;"",T17,"")</f>
        <v/>
      </c>
      <c r="U31" s="49">
        <f>IF(U17&lt;&gt;"",U17,"")</f>
        <v/>
      </c>
      <c r="V31" s="49">
        <f>IF(V17&lt;&gt;"",V17,"")</f>
        <v/>
      </c>
      <c r="W31" s="1" t="n"/>
    </row>
    <row r="32">
      <c r="A32" s="37" t="n">
        <v>29</v>
      </c>
      <c r="B32" s="55" t="inlineStr">
        <is>
          <t>+ Extraordinary Gains (E)</t>
        </is>
      </c>
      <c r="C32" s="49">
        <f>IF(C18&lt;&gt;"",C18,"")</f>
        <v/>
      </c>
      <c r="D32" s="49">
        <f>IF(D18&lt;&gt;"",D18,"")</f>
        <v/>
      </c>
      <c r="E32" s="49">
        <f>IF(E18&lt;&gt;"",E18,"")</f>
        <v/>
      </c>
      <c r="F32" s="49">
        <f>IF(F18&lt;&gt;"",F18,"")</f>
        <v/>
      </c>
      <c r="G32" s="49">
        <f>IF(G18&lt;&gt;"",G18,"")</f>
        <v/>
      </c>
      <c r="H32" s="49">
        <f>IF(H18&lt;&gt;"",H18,"")</f>
        <v/>
      </c>
      <c r="I32" s="49">
        <f>IF(I18&lt;&gt;"",I18,"")</f>
        <v/>
      </c>
      <c r="J32" s="49">
        <f>IF(J18&lt;&gt;"",J18,"")</f>
        <v/>
      </c>
      <c r="K32" s="49">
        <f>IF(K18&lt;&gt;"",K18,"")</f>
        <v/>
      </c>
      <c r="L32" s="49">
        <f>IF(L18&lt;&gt;"",L18,"")</f>
        <v/>
      </c>
      <c r="M32" s="49">
        <f>IF(M18&lt;&gt;"",M18,"")</f>
        <v/>
      </c>
      <c r="N32" s="49">
        <f>IF(N18&lt;&gt;"",N18,"")</f>
        <v/>
      </c>
      <c r="O32" s="49">
        <f>IF(O18&lt;&gt;"",O18,"")</f>
        <v/>
      </c>
      <c r="P32" s="49">
        <f>IF(P18&lt;&gt;"",P18,"")</f>
        <v/>
      </c>
      <c r="Q32" s="49">
        <f>IF(Q18&lt;&gt;"",Q18,"")</f>
        <v/>
      </c>
      <c r="R32" s="49">
        <f>IF(R18&lt;&gt;"",R18,"")</f>
        <v/>
      </c>
      <c r="S32" s="49">
        <f>IF(S18&lt;&gt;"",S18,"")</f>
        <v/>
      </c>
      <c r="T32" s="49">
        <f>IF(T18&lt;&gt;"",T18,"")</f>
        <v/>
      </c>
      <c r="U32" s="49">
        <f>IF(U18&lt;&gt;"",U18,"")</f>
        <v/>
      </c>
      <c r="V32" s="49">
        <f>IF(V18&lt;&gt;"",V18,"")</f>
        <v/>
      </c>
      <c r="W32" s="1" t="n"/>
    </row>
    <row r="33">
      <c r="A33" s="37" t="n">
        <v>30</v>
      </c>
      <c r="B33" s="54" t="inlineStr">
        <is>
          <t>Asset Wealth (I+L+R+E)</t>
        </is>
      </c>
      <c r="C33" s="56">
        <f>IF(C29&lt;&gt;"",C29+C16+C17+C18,"")</f>
        <v/>
      </c>
      <c r="D33" s="56">
        <f>IF(D29&lt;&gt;"",D29+D16+D17+D18,"")</f>
        <v/>
      </c>
      <c r="E33" s="56">
        <f>IF(E29&lt;&gt;"",E29+E16+E17+E18,"")</f>
        <v/>
      </c>
      <c r="F33" s="56">
        <f>IF(F29&lt;&gt;"",F29+F16+F17+F18,"")</f>
        <v/>
      </c>
      <c r="G33" s="56">
        <f>IF(G29&lt;&gt;"",G29+G16+G17+G18,"")</f>
        <v/>
      </c>
      <c r="H33" s="56">
        <f>IF(H29&lt;&gt;"",H29+H16+H17+H18,"")</f>
        <v/>
      </c>
      <c r="I33" s="56">
        <f>IF(I29&lt;&gt;"",I29+I16+I17+I18,"")</f>
        <v/>
      </c>
      <c r="J33" s="56">
        <f>IF(J29&lt;&gt;"",J29+J16+J17+J18,"")</f>
        <v/>
      </c>
      <c r="K33" s="56">
        <f>IF(K29&lt;&gt;"",K29+K16+K17+K18,"")</f>
        <v/>
      </c>
      <c r="L33" s="56">
        <f>IF(L29&lt;&gt;"",L29+L16+L17+L18,"")</f>
        <v/>
      </c>
      <c r="M33" s="56">
        <f>IF(M29&lt;&gt;"",M29+M16+M17+M18,"")</f>
        <v/>
      </c>
      <c r="N33" s="56">
        <f>IF(N29&lt;&gt;"",N29+N16+N17+N18,"")</f>
        <v/>
      </c>
      <c r="O33" s="56">
        <f>IF(O29&lt;&gt;"",O29+O16+O17+O18,"")</f>
        <v/>
      </c>
      <c r="P33" s="56">
        <f>IF(P29&lt;&gt;"",P29+P16+P17+P18,"")</f>
        <v/>
      </c>
      <c r="Q33" s="56">
        <f>IF(Q29&lt;&gt;"",Q29+Q16+Q17+Q18,"")</f>
        <v/>
      </c>
      <c r="R33" s="56">
        <f>IF(R29&lt;&gt;"",R29+R16+R17+R18,"")</f>
        <v/>
      </c>
      <c r="S33" s="56">
        <f>IF(S29&lt;&gt;"",S29+S16+S17+S18,"")</f>
        <v/>
      </c>
      <c r="T33" s="56">
        <f>IF(T29&lt;&gt;"",T29+T16+T17+T18,"")</f>
        <v/>
      </c>
      <c r="U33" s="56">
        <f>IF(U29&lt;&gt;"",U29+U16+U17+U18,"")</f>
        <v/>
      </c>
      <c r="V33" s="56">
        <f>IF(V29&lt;&gt;"",V29+V16+V17+V18,"")</f>
        <v/>
      </c>
      <c r="W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</row>
    <row r="35">
      <c r="A35" s="37" t="n">
        <v>32</v>
      </c>
      <c r="B35" s="57" t="inlineStr">
        <is>
          <t>TOTAL WEALTH</t>
        </is>
      </c>
      <c r="C35" s="58" t="n"/>
      <c r="D35" s="58" t="n"/>
      <c r="E35" s="58" t="n"/>
      <c r="F35" s="58" t="n"/>
      <c r="G35" s="58" t="n"/>
      <c r="H35" s="58" t="n"/>
      <c r="I35" s="58" t="n"/>
      <c r="J35" s="58" t="n"/>
      <c r="K35" s="58" t="n"/>
      <c r="L35" s="58" t="n"/>
      <c r="M35" s="58" t="n"/>
      <c r="N35" s="58" t="n"/>
      <c r="O35" s="58" t="n"/>
      <c r="P35" s="58" t="n"/>
      <c r="Q35" s="58" t="n"/>
      <c r="R35" s="58" t="n"/>
      <c r="S35" s="58" t="n"/>
      <c r="T35" s="58" t="n"/>
      <c r="U35" s="58" t="n"/>
      <c r="V35" s="58" t="n"/>
      <c r="W35" s="1" t="n"/>
    </row>
    <row r="36">
      <c r="A36" s="37" t="n">
        <v>33</v>
      </c>
      <c r="B36" s="57" t="inlineStr">
        <is>
          <t>Total Real Wealth (oz)</t>
        </is>
      </c>
      <c r="C36" s="59">
        <f>IF(C26&lt;&gt;"",C26+C33,"")</f>
        <v/>
      </c>
      <c r="D36" s="59">
        <f>IF(D26&lt;&gt;"",D26+D33,"")</f>
        <v/>
      </c>
      <c r="E36" s="59">
        <f>IF(E26&lt;&gt;"",E26+E33,"")</f>
        <v/>
      </c>
      <c r="F36" s="59">
        <f>IF(F26&lt;&gt;"",F26+F33,"")</f>
        <v/>
      </c>
      <c r="G36" s="59">
        <f>IF(G26&lt;&gt;"",G26+G33,"")</f>
        <v/>
      </c>
      <c r="H36" s="59">
        <f>IF(H26&lt;&gt;"",H26+H33,"")</f>
        <v/>
      </c>
      <c r="I36" s="59">
        <f>IF(I26&lt;&gt;"",I26+I33,"")</f>
        <v/>
      </c>
      <c r="J36" s="59">
        <f>IF(J26&lt;&gt;"",J26+J33,"")</f>
        <v/>
      </c>
      <c r="K36" s="59">
        <f>IF(K26&lt;&gt;"",K26+K33,"")</f>
        <v/>
      </c>
      <c r="L36" s="59">
        <f>IF(L26&lt;&gt;"",L26+L33,"")</f>
        <v/>
      </c>
      <c r="M36" s="59">
        <f>IF(M26&lt;&gt;"",M26+M33,"")</f>
        <v/>
      </c>
      <c r="N36" s="59">
        <f>IF(N26&lt;&gt;"",N26+N33,"")</f>
        <v/>
      </c>
      <c r="O36" s="59">
        <f>IF(O26&lt;&gt;"",O26+O33,"")</f>
        <v/>
      </c>
      <c r="P36" s="59">
        <f>IF(P26&lt;&gt;"",P26+P33,"")</f>
        <v/>
      </c>
      <c r="Q36" s="59">
        <f>IF(Q26&lt;&gt;"",Q26+Q33,"")</f>
        <v/>
      </c>
      <c r="R36" s="59">
        <f>IF(R26&lt;&gt;"",R26+R33,"")</f>
        <v/>
      </c>
      <c r="S36" s="59">
        <f>IF(S26&lt;&gt;"",S26+S33,"")</f>
        <v/>
      </c>
      <c r="T36" s="59">
        <f>IF(T26&lt;&gt;"",T26+T33,"")</f>
        <v/>
      </c>
      <c r="U36" s="59">
        <f>IF(U26&lt;&gt;"",U26+U33,"")</f>
        <v/>
      </c>
      <c r="V36" s="59">
        <f>IF(V26&lt;&gt;"",V26+V33,"")</f>
        <v/>
      </c>
      <c r="W36" s="1" t="n"/>
    </row>
    <row r="37">
      <c r="A37" s="37" t="n">
        <v>34</v>
      </c>
      <c r="B37" s="57" t="inlineStr">
        <is>
          <t>Total Wealth (Billions oz)</t>
        </is>
      </c>
      <c r="C37" s="60">
        <f>IF(C36&lt;&gt;"",C36/1000000000,"")</f>
        <v/>
      </c>
      <c r="D37" s="60">
        <f>IF(D36&lt;&gt;"",D36/1000000000,"")</f>
        <v/>
      </c>
      <c r="E37" s="60">
        <f>IF(E36&lt;&gt;"",E36/1000000000,"")</f>
        <v/>
      </c>
      <c r="F37" s="60">
        <f>IF(F36&lt;&gt;"",F36/1000000000,"")</f>
        <v/>
      </c>
      <c r="G37" s="60">
        <f>IF(G36&lt;&gt;"",G36/1000000000,"")</f>
        <v/>
      </c>
      <c r="H37" s="60">
        <f>IF(H36&lt;&gt;"",H36/1000000000,"")</f>
        <v/>
      </c>
      <c r="I37" s="60">
        <f>IF(I36&lt;&gt;"",I36/1000000000,"")</f>
        <v/>
      </c>
      <c r="J37" s="60">
        <f>IF(J36&lt;&gt;"",J36/1000000000,"")</f>
        <v/>
      </c>
      <c r="K37" s="60">
        <f>IF(K36&lt;&gt;"",K36/1000000000,"")</f>
        <v/>
      </c>
      <c r="L37" s="60">
        <f>IF(L36&lt;&gt;"",L36/1000000000,"")</f>
        <v/>
      </c>
      <c r="M37" s="60">
        <f>IF(M36&lt;&gt;"",M36/1000000000,"")</f>
        <v/>
      </c>
      <c r="N37" s="60">
        <f>IF(N36&lt;&gt;"",N36/1000000000,"")</f>
        <v/>
      </c>
      <c r="O37" s="60">
        <f>IF(O36&lt;&gt;"",O36/1000000000,"")</f>
        <v/>
      </c>
      <c r="P37" s="60">
        <f>IF(P36&lt;&gt;"",P36/1000000000,"")</f>
        <v/>
      </c>
      <c r="Q37" s="60">
        <f>IF(Q36&lt;&gt;"",Q36/1000000000,"")</f>
        <v/>
      </c>
      <c r="R37" s="60">
        <f>IF(R36&lt;&gt;"",R36/1000000000,"")</f>
        <v/>
      </c>
      <c r="S37" s="60">
        <f>IF(S36&lt;&gt;"",S36/1000000000,"")</f>
        <v/>
      </c>
      <c r="T37" s="60">
        <f>IF(T36&lt;&gt;"",T36/1000000000,"")</f>
        <v/>
      </c>
      <c r="U37" s="60">
        <f>IF(U36&lt;&gt;"",U36/1000000000,"")</f>
        <v/>
      </c>
      <c r="V37" s="60">
        <f>IF(V36&lt;&gt;"",V36/1000000000,"")</f>
        <v/>
      </c>
      <c r="W37" s="1" t="n"/>
    </row>
    <row r="38">
      <c r="A38" s="37" t="n">
        <v>35</v>
      </c>
      <c r="B38" s="57" t="inlineStr">
        <is>
          <t>Nominal Value (USD)</t>
        </is>
      </c>
      <c r="C38" s="61">
        <f>IF(AND(C36&lt;&gt;"",C21&gt;0),C36*C21,"")</f>
        <v/>
      </c>
      <c r="D38" s="61">
        <f>IF(AND(D36&lt;&gt;"",D21&gt;0),D36*D21,"")</f>
        <v/>
      </c>
      <c r="E38" s="61">
        <f>IF(AND(E36&lt;&gt;"",E21&gt;0),E36*E21,"")</f>
        <v/>
      </c>
      <c r="F38" s="61">
        <f>IF(AND(F36&lt;&gt;"",F21&gt;0),F36*F21,"")</f>
        <v/>
      </c>
      <c r="G38" s="61">
        <f>IF(AND(G36&lt;&gt;"",G21&gt;0),G36*G21,"")</f>
        <v/>
      </c>
      <c r="H38" s="61">
        <f>IF(AND(H36&lt;&gt;"",H21&gt;0),H36*H21,"")</f>
        <v/>
      </c>
      <c r="I38" s="61">
        <f>IF(AND(I36&lt;&gt;"",I21&gt;0),I36*I21,"")</f>
        <v/>
      </c>
      <c r="J38" s="61">
        <f>IF(AND(J36&lt;&gt;"",J21&gt;0),J36*J21,"")</f>
        <v/>
      </c>
      <c r="K38" s="61">
        <f>IF(AND(K36&lt;&gt;"",K21&gt;0),K36*K21,"")</f>
        <v/>
      </c>
      <c r="L38" s="61">
        <f>IF(AND(L36&lt;&gt;"",L21&gt;0),L36*L21,"")</f>
        <v/>
      </c>
      <c r="M38" s="61">
        <f>IF(AND(M36&lt;&gt;"",M21&gt;0),M36*M21,"")</f>
        <v/>
      </c>
      <c r="N38" s="61">
        <f>IF(AND(N36&lt;&gt;"",N21&gt;0),N36*N21,"")</f>
        <v/>
      </c>
      <c r="O38" s="61">
        <f>IF(AND(O36&lt;&gt;"",O21&gt;0),O36*O21,"")</f>
        <v/>
      </c>
      <c r="P38" s="61">
        <f>IF(AND(P36&lt;&gt;"",P21&gt;0),P36*P21,"")</f>
        <v/>
      </c>
      <c r="Q38" s="61">
        <f>IF(AND(Q36&lt;&gt;"",Q21&gt;0),Q36*Q21,"")</f>
        <v/>
      </c>
      <c r="R38" s="61">
        <f>IF(AND(R36&lt;&gt;"",R21&gt;0),R36*R21,"")</f>
        <v/>
      </c>
      <c r="S38" s="61">
        <f>IF(AND(S36&lt;&gt;"",S21&gt;0),S36*S21,"")</f>
        <v/>
      </c>
      <c r="T38" s="61">
        <f>IF(AND(T36&lt;&gt;"",T21&gt;0),T36*T21,"")</f>
        <v/>
      </c>
      <c r="U38" s="61">
        <f>IF(AND(U36&lt;&gt;"",U21&gt;0),U36*U21,"")</f>
        <v/>
      </c>
      <c r="V38" s="61">
        <f>IF(AND(V36&lt;&gt;"",V21&gt;0),V36*V21,"")</f>
        <v/>
      </c>
      <c r="W38" s="1" t="n"/>
    </row>
    <row r="39">
      <c r="A39" s="37" t="n">
        <v>36</v>
      </c>
      <c r="B39" s="57" t="inlineStr">
        <is>
          <t>Nominal Value (Trillions)</t>
        </is>
      </c>
      <c r="C39" s="62">
        <f>IF(C38&lt;&gt;"",C38/1000000000000,"")</f>
        <v/>
      </c>
      <c r="D39" s="62">
        <f>IF(D38&lt;&gt;"",D38/1000000000000,"")</f>
        <v/>
      </c>
      <c r="E39" s="62">
        <f>IF(E38&lt;&gt;"",E38/1000000000000,"")</f>
        <v/>
      </c>
      <c r="F39" s="62">
        <f>IF(F38&lt;&gt;"",F38/1000000000000,"")</f>
        <v/>
      </c>
      <c r="G39" s="62">
        <f>IF(G38&lt;&gt;"",G38/1000000000000,"")</f>
        <v/>
      </c>
      <c r="H39" s="62">
        <f>IF(H38&lt;&gt;"",H38/1000000000000,"")</f>
        <v/>
      </c>
      <c r="I39" s="62">
        <f>IF(I38&lt;&gt;"",I38/1000000000000,"")</f>
        <v/>
      </c>
      <c r="J39" s="62">
        <f>IF(J38&lt;&gt;"",J38/1000000000000,"")</f>
        <v/>
      </c>
      <c r="K39" s="62">
        <f>IF(K38&lt;&gt;"",K38/1000000000000,"")</f>
        <v/>
      </c>
      <c r="L39" s="62">
        <f>IF(L38&lt;&gt;"",L38/1000000000000,"")</f>
        <v/>
      </c>
      <c r="M39" s="62">
        <f>IF(M38&lt;&gt;"",M38/1000000000000,"")</f>
        <v/>
      </c>
      <c r="N39" s="62">
        <f>IF(N38&lt;&gt;"",N38/1000000000000,"")</f>
        <v/>
      </c>
      <c r="O39" s="62">
        <f>IF(O38&lt;&gt;"",O38/1000000000000,"")</f>
        <v/>
      </c>
      <c r="P39" s="62">
        <f>IF(P38&lt;&gt;"",P38/1000000000000,"")</f>
        <v/>
      </c>
      <c r="Q39" s="62">
        <f>IF(Q38&lt;&gt;"",Q38/1000000000000,"")</f>
        <v/>
      </c>
      <c r="R39" s="62">
        <f>IF(R38&lt;&gt;"",R38/1000000000000,"")</f>
        <v/>
      </c>
      <c r="S39" s="62">
        <f>IF(S38&lt;&gt;"",S38/1000000000000,"")</f>
        <v/>
      </c>
      <c r="T39" s="62">
        <f>IF(T38&lt;&gt;"",T38/1000000000000,"")</f>
        <v/>
      </c>
      <c r="U39" s="62">
        <f>IF(U38&lt;&gt;"",U38/1000000000000,"")</f>
        <v/>
      </c>
      <c r="V39" s="62">
        <f>IF(V38&lt;&gt;"",V38/1000000000000,"")</f>
        <v/>
      </c>
      <c r="W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</row>
    <row r="41">
      <c r="A41" s="37" t="n">
        <v>38</v>
      </c>
      <c r="B41" s="63" t="inlineStr">
        <is>
          <t>CFO METRICS</t>
        </is>
      </c>
      <c r="C41" s="64" t="n"/>
      <c r="D41" s="64" t="n"/>
      <c r="E41" s="64" t="n"/>
      <c r="F41" s="64" t="n"/>
      <c r="G41" s="64" t="n"/>
      <c r="H41" s="64" t="n"/>
      <c r="I41" s="64" t="n"/>
      <c r="J41" s="64" t="n"/>
      <c r="K41" s="64" t="n"/>
      <c r="L41" s="64" t="n"/>
      <c r="M41" s="64" t="n"/>
      <c r="N41" s="64" t="n"/>
      <c r="O41" s="64" t="n"/>
      <c r="P41" s="64" t="n"/>
      <c r="Q41" s="64" t="n"/>
      <c r="R41" s="64" t="n"/>
      <c r="S41" s="64" t="n"/>
      <c r="T41" s="64" t="n"/>
      <c r="U41" s="64" t="n"/>
      <c r="V41" s="64" t="n"/>
      <c r="W41" s="1" t="n"/>
    </row>
    <row r="42">
      <c r="A42" s="37" t="n">
        <v>39</v>
      </c>
      <c r="B42" s="65" t="inlineStr">
        <is>
          <t>Income-to-Asset Ratio</t>
        </is>
      </c>
      <c r="C42" s="66">
        <f>IF(AND(C26&lt;&gt;"",C33&gt;0),C26/C33,"")</f>
        <v/>
      </c>
      <c r="D42" s="66">
        <f>IF(AND(D26&lt;&gt;"",D33&gt;0),D26/D33,"")</f>
        <v/>
      </c>
      <c r="E42" s="66">
        <f>IF(AND(E26&lt;&gt;"",E33&gt;0),E26/E33,"")</f>
        <v/>
      </c>
      <c r="F42" s="66">
        <f>IF(AND(F26&lt;&gt;"",F33&gt;0),F26/F33,"")</f>
        <v/>
      </c>
      <c r="G42" s="66">
        <f>IF(AND(G26&lt;&gt;"",G33&gt;0),G26/G33,"")</f>
        <v/>
      </c>
      <c r="H42" s="66">
        <f>IF(AND(H26&lt;&gt;"",H33&gt;0),H26/H33,"")</f>
        <v/>
      </c>
      <c r="I42" s="66">
        <f>IF(AND(I26&lt;&gt;"",I33&gt;0),I26/I33,"")</f>
        <v/>
      </c>
      <c r="J42" s="66">
        <f>IF(AND(J26&lt;&gt;"",J33&gt;0),J26/J33,"")</f>
        <v/>
      </c>
      <c r="K42" s="66">
        <f>IF(AND(K26&lt;&gt;"",K33&gt;0),K26/K33,"")</f>
        <v/>
      </c>
      <c r="L42" s="66">
        <f>IF(AND(L26&lt;&gt;"",L33&gt;0),L26/L33,"")</f>
        <v/>
      </c>
      <c r="M42" s="66">
        <f>IF(AND(M26&lt;&gt;"",M33&gt;0),M26/M33,"")</f>
        <v/>
      </c>
      <c r="N42" s="66">
        <f>IF(AND(N26&lt;&gt;"",N33&gt;0),N26/N33,"")</f>
        <v/>
      </c>
      <c r="O42" s="66">
        <f>IF(AND(O26&lt;&gt;"",O33&gt;0),O26/O33,"")</f>
        <v/>
      </c>
      <c r="P42" s="66">
        <f>IF(AND(P26&lt;&gt;"",P33&gt;0),P26/P33,"")</f>
        <v/>
      </c>
      <c r="Q42" s="66">
        <f>IF(AND(Q26&lt;&gt;"",Q33&gt;0),Q26/Q33,"")</f>
        <v/>
      </c>
      <c r="R42" s="66">
        <f>IF(AND(R26&lt;&gt;"",R33&gt;0),R26/R33,"")</f>
        <v/>
      </c>
      <c r="S42" s="66">
        <f>IF(AND(S26&lt;&gt;"",S33&gt;0),S26/S33,"")</f>
        <v/>
      </c>
      <c r="T42" s="66">
        <f>IF(AND(T26&lt;&gt;"",T33&gt;0),T26/T33,"")</f>
        <v/>
      </c>
      <c r="U42" s="66">
        <f>IF(AND(U26&lt;&gt;"",U33&gt;0),U26/U33,"")</f>
        <v/>
      </c>
      <c r="V42" s="66">
        <f>IF(AND(V26&lt;&gt;"",V33&gt;0),V26/V33,"")</f>
        <v/>
      </c>
      <c r="W42" s="1" t="n"/>
    </row>
    <row r="43">
      <c r="A43" s="37" t="n">
        <v>40</v>
      </c>
      <c r="B43" s="65" t="inlineStr">
        <is>
          <t>Extraction Efficiency</t>
        </is>
      </c>
      <c r="C43" s="67">
        <f>IF(C12&lt;&gt;"",C12,"")</f>
        <v/>
      </c>
      <c r="D43" s="67">
        <f>IF(D12&lt;&gt;"",D12,"")</f>
        <v/>
      </c>
      <c r="E43" s="67">
        <f>IF(E12&lt;&gt;"",E12,"")</f>
        <v/>
      </c>
      <c r="F43" s="67">
        <f>IF(F12&lt;&gt;"",F12,"")</f>
        <v/>
      </c>
      <c r="G43" s="67">
        <f>IF(G12&lt;&gt;"",G12,"")</f>
        <v/>
      </c>
      <c r="H43" s="67">
        <f>IF(H12&lt;&gt;"",H12,"")</f>
        <v/>
      </c>
      <c r="I43" s="67">
        <f>IF(I12&lt;&gt;"",I12,"")</f>
        <v/>
      </c>
      <c r="J43" s="67">
        <f>IF(J12&lt;&gt;"",J12,"")</f>
        <v/>
      </c>
      <c r="K43" s="67">
        <f>IF(K12&lt;&gt;"",K12,"")</f>
        <v/>
      </c>
      <c r="L43" s="67">
        <f>IF(L12&lt;&gt;"",L12,"")</f>
        <v/>
      </c>
      <c r="M43" s="67">
        <f>IF(M12&lt;&gt;"",M12,"")</f>
        <v/>
      </c>
      <c r="N43" s="67">
        <f>IF(N12&lt;&gt;"",N12,"")</f>
        <v/>
      </c>
      <c r="O43" s="67">
        <f>IF(O12&lt;&gt;"",O12,"")</f>
        <v/>
      </c>
      <c r="P43" s="67">
        <f>IF(P12&lt;&gt;"",P12,"")</f>
        <v/>
      </c>
      <c r="Q43" s="67">
        <f>IF(Q12&lt;&gt;"",Q12,"")</f>
        <v/>
      </c>
      <c r="R43" s="67">
        <f>IF(R12&lt;&gt;"",R12,"")</f>
        <v/>
      </c>
      <c r="S43" s="67">
        <f>IF(S12&lt;&gt;"",S12,"")</f>
        <v/>
      </c>
      <c r="T43" s="67">
        <f>IF(T12&lt;&gt;"",T12,"")</f>
        <v/>
      </c>
      <c r="U43" s="67">
        <f>IF(U12&lt;&gt;"",U12,"")</f>
        <v/>
      </c>
      <c r="V43" s="67">
        <f>IF(V12&lt;&gt;"",V12,"")</f>
        <v/>
      </c>
      <c r="W43" s="1" t="n"/>
    </row>
    <row r="44">
      <c r="A44" s="37" t="n">
        <v>41</v>
      </c>
      <c r="B44" s="65" t="inlineStr">
        <is>
          <t>Per Capita Wealth (oz)</t>
        </is>
      </c>
      <c r="C44" s="68">
        <f>IF(AND(C36&lt;&gt;"",C9&gt;0),C36/C9,"")</f>
        <v/>
      </c>
      <c r="D44" s="68">
        <f>IF(AND(D36&lt;&gt;"",D9&gt;0),D36/D9,"")</f>
        <v/>
      </c>
      <c r="E44" s="68">
        <f>IF(AND(E36&lt;&gt;"",E9&gt;0),E36/E9,"")</f>
        <v/>
      </c>
      <c r="F44" s="68">
        <f>IF(AND(F36&lt;&gt;"",F9&gt;0),F36/F9,"")</f>
        <v/>
      </c>
      <c r="G44" s="68">
        <f>IF(AND(G36&lt;&gt;"",G9&gt;0),G36/G9,"")</f>
        <v/>
      </c>
      <c r="H44" s="68">
        <f>IF(AND(H36&lt;&gt;"",H9&gt;0),H36/H9,"")</f>
        <v/>
      </c>
      <c r="I44" s="68">
        <f>IF(AND(I36&lt;&gt;"",I9&gt;0),I36/I9,"")</f>
        <v/>
      </c>
      <c r="J44" s="68">
        <f>IF(AND(J36&lt;&gt;"",J9&gt;0),J36/J9,"")</f>
        <v/>
      </c>
      <c r="K44" s="68">
        <f>IF(AND(K36&lt;&gt;"",K9&gt;0),K36/K9,"")</f>
        <v/>
      </c>
      <c r="L44" s="68">
        <f>IF(AND(L36&lt;&gt;"",L9&gt;0),L36/L9,"")</f>
        <v/>
      </c>
      <c r="M44" s="68">
        <f>IF(AND(M36&lt;&gt;"",M9&gt;0),M36/M9,"")</f>
        <v/>
      </c>
      <c r="N44" s="68">
        <f>IF(AND(N36&lt;&gt;"",N9&gt;0),N36/N9,"")</f>
        <v/>
      </c>
      <c r="O44" s="68">
        <f>IF(AND(O36&lt;&gt;"",O9&gt;0),O36/O9,"")</f>
        <v/>
      </c>
      <c r="P44" s="68">
        <f>IF(AND(P36&lt;&gt;"",P9&gt;0),P36/P9,"")</f>
        <v/>
      </c>
      <c r="Q44" s="68">
        <f>IF(AND(Q36&lt;&gt;"",Q9&gt;0),Q36/Q9,"")</f>
        <v/>
      </c>
      <c r="R44" s="68">
        <f>IF(AND(R36&lt;&gt;"",R9&gt;0),R36/R9,"")</f>
        <v/>
      </c>
      <c r="S44" s="68">
        <f>IF(AND(S36&lt;&gt;"",S9&gt;0),S36/S9,"")</f>
        <v/>
      </c>
      <c r="T44" s="68">
        <f>IF(AND(T36&lt;&gt;"",T9&gt;0),T36/T9,"")</f>
        <v/>
      </c>
      <c r="U44" s="68">
        <f>IF(AND(U36&lt;&gt;"",U9&gt;0),U36/U9,"")</f>
        <v/>
      </c>
      <c r="V44" s="68">
        <f>IF(AND(V36&lt;&gt;"",V9&gt;0),V36/V9,"")</f>
        <v/>
      </c>
      <c r="W44" s="1" t="n"/>
    </row>
    <row r="45">
      <c r="A45" s="37" t="n">
        <v>42</v>
      </c>
      <c r="B45" s="65" t="inlineStr">
        <is>
          <t>Annual Yield</t>
        </is>
      </c>
      <c r="C45" s="69">
        <f>IF(AND(C25&lt;&gt;"",C36&gt;0),C25/C36,"")</f>
        <v/>
      </c>
      <c r="D45" s="69">
        <f>IF(AND(D25&lt;&gt;"",D36&gt;0),D25/D36,"")</f>
        <v/>
      </c>
      <c r="E45" s="69">
        <f>IF(AND(E25&lt;&gt;"",E36&gt;0),E25/E36,"")</f>
        <v/>
      </c>
      <c r="F45" s="69">
        <f>IF(AND(F25&lt;&gt;"",F36&gt;0),F25/F36,"")</f>
        <v/>
      </c>
      <c r="G45" s="69">
        <f>IF(AND(G25&lt;&gt;"",G36&gt;0),G25/G36,"")</f>
        <v/>
      </c>
      <c r="H45" s="69">
        <f>IF(AND(H25&lt;&gt;"",H36&gt;0),H25/H36,"")</f>
        <v/>
      </c>
      <c r="I45" s="69">
        <f>IF(AND(I25&lt;&gt;"",I36&gt;0),I25/I36,"")</f>
        <v/>
      </c>
      <c r="J45" s="69">
        <f>IF(AND(J25&lt;&gt;"",J36&gt;0),J25/J36,"")</f>
        <v/>
      </c>
      <c r="K45" s="69">
        <f>IF(AND(K25&lt;&gt;"",K36&gt;0),K25/K36,"")</f>
        <v/>
      </c>
      <c r="L45" s="69">
        <f>IF(AND(L25&lt;&gt;"",L36&gt;0),L25/L36,"")</f>
        <v/>
      </c>
      <c r="M45" s="69">
        <f>IF(AND(M25&lt;&gt;"",M36&gt;0),M25/M36,"")</f>
        <v/>
      </c>
      <c r="N45" s="69">
        <f>IF(AND(N25&lt;&gt;"",N36&gt;0),N25/N36,"")</f>
        <v/>
      </c>
      <c r="O45" s="69">
        <f>IF(AND(O25&lt;&gt;"",O36&gt;0),O25/O36,"")</f>
        <v/>
      </c>
      <c r="P45" s="69">
        <f>IF(AND(P25&lt;&gt;"",P36&gt;0),P25/P36,"")</f>
        <v/>
      </c>
      <c r="Q45" s="69">
        <f>IF(AND(Q25&lt;&gt;"",Q36&gt;0),Q25/Q36,"")</f>
        <v/>
      </c>
      <c r="R45" s="69">
        <f>IF(AND(R25&lt;&gt;"",R36&gt;0),R25/R36,"")</f>
        <v/>
      </c>
      <c r="S45" s="69">
        <f>IF(AND(S25&lt;&gt;"",S36&gt;0),S25/S36,"")</f>
        <v/>
      </c>
      <c r="T45" s="69">
        <f>IF(AND(T25&lt;&gt;"",T36&gt;0),T25/T36,"")</f>
        <v/>
      </c>
      <c r="U45" s="69">
        <f>IF(AND(U25&lt;&gt;"",U36&gt;0),U25/U36,"")</f>
        <v/>
      </c>
      <c r="V45" s="69">
        <f>IF(AND(V25&lt;&gt;"",V36&gt;0),V25/V36,"")</f>
        <v/>
      </c>
      <c r="W45" s="1" t="n"/>
    </row>
    <row r="46">
      <c r="A46" s="37" t="n">
        <v>43</v>
      </c>
      <c r="B46" s="65" t="inlineStr">
        <is>
          <t>Income Wealth %</t>
        </is>
      </c>
      <c r="C46" s="67">
        <f>IF(AND(C26&lt;&gt;"",C36&gt;0),C26/C36,"")</f>
        <v/>
      </c>
      <c r="D46" s="67">
        <f>IF(AND(D26&lt;&gt;"",D36&gt;0),D26/D36,"")</f>
        <v/>
      </c>
      <c r="E46" s="67">
        <f>IF(AND(E26&lt;&gt;"",E36&gt;0),E26/E36,"")</f>
        <v/>
      </c>
      <c r="F46" s="67">
        <f>IF(AND(F26&lt;&gt;"",F36&gt;0),F26/F36,"")</f>
        <v/>
      </c>
      <c r="G46" s="67">
        <f>IF(AND(G26&lt;&gt;"",G36&gt;0),G26/G36,"")</f>
        <v/>
      </c>
      <c r="H46" s="67">
        <f>IF(AND(H26&lt;&gt;"",H36&gt;0),H26/H36,"")</f>
        <v/>
      </c>
      <c r="I46" s="67">
        <f>IF(AND(I26&lt;&gt;"",I36&gt;0),I26/I36,"")</f>
        <v/>
      </c>
      <c r="J46" s="67">
        <f>IF(AND(J26&lt;&gt;"",J36&gt;0),J26/J36,"")</f>
        <v/>
      </c>
      <c r="K46" s="67">
        <f>IF(AND(K26&lt;&gt;"",K36&gt;0),K26/K36,"")</f>
        <v/>
      </c>
      <c r="L46" s="67">
        <f>IF(AND(L26&lt;&gt;"",L36&gt;0),L26/L36,"")</f>
        <v/>
      </c>
      <c r="M46" s="67">
        <f>IF(AND(M26&lt;&gt;"",M36&gt;0),M26/M36,"")</f>
        <v/>
      </c>
      <c r="N46" s="67">
        <f>IF(AND(N26&lt;&gt;"",N36&gt;0),N26/N36,"")</f>
        <v/>
      </c>
      <c r="O46" s="67">
        <f>IF(AND(O26&lt;&gt;"",O36&gt;0),O26/O36,"")</f>
        <v/>
      </c>
      <c r="P46" s="67">
        <f>IF(AND(P26&lt;&gt;"",P36&gt;0),P26/P36,"")</f>
        <v/>
      </c>
      <c r="Q46" s="67">
        <f>IF(AND(Q26&lt;&gt;"",Q36&gt;0),Q26/Q36,"")</f>
        <v/>
      </c>
      <c r="R46" s="67">
        <f>IF(AND(R26&lt;&gt;"",R36&gt;0),R26/R36,"")</f>
        <v/>
      </c>
      <c r="S46" s="67">
        <f>IF(AND(S26&lt;&gt;"",S36&gt;0),S26/S36,"")</f>
        <v/>
      </c>
      <c r="T46" s="67">
        <f>IF(AND(T26&lt;&gt;"",T36&gt;0),T26/T36,"")</f>
        <v/>
      </c>
      <c r="U46" s="67">
        <f>IF(AND(U26&lt;&gt;"",U36&gt;0),U26/U36,"")</f>
        <v/>
      </c>
      <c r="V46" s="67">
        <f>IF(AND(V26&lt;&gt;"",V36&gt;0),V26/V36,"")</f>
        <v/>
      </c>
      <c r="W46" s="1" t="n"/>
    </row>
    <row r="47">
      <c r="A47" s="37" t="n">
        <v>44</v>
      </c>
      <c r="B47" s="65" t="inlineStr">
        <is>
          <t>Asset Wealth %</t>
        </is>
      </c>
      <c r="C47" s="67">
        <f>IF(AND(C33&lt;&gt;"",C36&gt;0),C33/C36,"")</f>
        <v/>
      </c>
      <c r="D47" s="67">
        <f>IF(AND(D33&lt;&gt;"",D36&gt;0),D33/D36,"")</f>
        <v/>
      </c>
      <c r="E47" s="67">
        <f>IF(AND(E33&lt;&gt;"",E36&gt;0),E33/E36,"")</f>
        <v/>
      </c>
      <c r="F47" s="67">
        <f>IF(AND(F33&lt;&gt;"",F36&gt;0),F33/F36,"")</f>
        <v/>
      </c>
      <c r="G47" s="67">
        <f>IF(AND(G33&lt;&gt;"",G36&gt;0),G33/G36,"")</f>
        <v/>
      </c>
      <c r="H47" s="67">
        <f>IF(AND(H33&lt;&gt;"",H36&gt;0),H33/H36,"")</f>
        <v/>
      </c>
      <c r="I47" s="67">
        <f>IF(AND(I33&lt;&gt;"",I36&gt;0),I33/I36,"")</f>
        <v/>
      </c>
      <c r="J47" s="67">
        <f>IF(AND(J33&lt;&gt;"",J36&gt;0),J33/J36,"")</f>
        <v/>
      </c>
      <c r="K47" s="67">
        <f>IF(AND(K33&lt;&gt;"",K36&gt;0),K33/K36,"")</f>
        <v/>
      </c>
      <c r="L47" s="67">
        <f>IF(AND(L33&lt;&gt;"",L36&gt;0),L33/L36,"")</f>
        <v/>
      </c>
      <c r="M47" s="67">
        <f>IF(AND(M33&lt;&gt;"",M36&gt;0),M33/M36,"")</f>
        <v/>
      </c>
      <c r="N47" s="67">
        <f>IF(AND(N33&lt;&gt;"",N36&gt;0),N33/N36,"")</f>
        <v/>
      </c>
      <c r="O47" s="67">
        <f>IF(AND(O33&lt;&gt;"",O36&gt;0),O33/O36,"")</f>
        <v/>
      </c>
      <c r="P47" s="67">
        <f>IF(AND(P33&lt;&gt;"",P36&gt;0),P33/P36,"")</f>
        <v/>
      </c>
      <c r="Q47" s="67">
        <f>IF(AND(Q33&lt;&gt;"",Q36&gt;0),Q33/Q36,"")</f>
        <v/>
      </c>
      <c r="R47" s="67">
        <f>IF(AND(R33&lt;&gt;"",R36&gt;0),R33/R36,"")</f>
        <v/>
      </c>
      <c r="S47" s="67">
        <f>IF(AND(S33&lt;&gt;"",S36&gt;0),S33/S36,"")</f>
        <v/>
      </c>
      <c r="T47" s="67">
        <f>IF(AND(T33&lt;&gt;"",T36&gt;0),T33/T36,"")</f>
        <v/>
      </c>
      <c r="U47" s="67">
        <f>IF(AND(U33&lt;&gt;"",U36&gt;0),U33/U36,"")</f>
        <v/>
      </c>
      <c r="V47" s="67">
        <f>IF(AND(V33&lt;&gt;"",V36&gt;0),V33/V36,"")</f>
        <v/>
      </c>
      <c r="W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</row>
    <row r="49">
      <c r="A49" s="37" t="n">
        <v>46</v>
      </c>
      <c r="B49" s="38" t="inlineStr">
        <is>
          <t>WEALTH COMPOSITION %</t>
        </is>
      </c>
      <c r="C49" s="39" t="n"/>
      <c r="D49" s="39" t="n"/>
      <c r="E49" s="39" t="n"/>
      <c r="F49" s="39" t="n"/>
      <c r="G49" s="39" t="n"/>
      <c r="H49" s="39" t="n"/>
      <c r="I49" s="39" t="n"/>
      <c r="J49" s="39" t="n"/>
      <c r="K49" s="39" t="n"/>
      <c r="L49" s="39" t="n"/>
      <c r="M49" s="39" t="n"/>
      <c r="N49" s="39" t="n"/>
      <c r="O49" s="39" t="n"/>
      <c r="P49" s="39" t="n"/>
      <c r="Q49" s="39" t="n"/>
      <c r="R49" s="39" t="n"/>
      <c r="S49" s="39" t="n"/>
      <c r="T49" s="39" t="n"/>
      <c r="U49" s="39" t="n"/>
      <c r="V49" s="39" t="n"/>
      <c r="W49" s="1" t="n"/>
    </row>
    <row r="50">
      <c r="A50" s="37" t="n">
        <v>47</v>
      </c>
      <c r="B50" s="40" t="inlineStr">
        <is>
          <t>Income Wealth %</t>
        </is>
      </c>
      <c r="C50" s="70">
        <f>IF(C36&gt;0,C26/C36,"")</f>
        <v/>
      </c>
      <c r="D50" s="70">
        <f>IF(D36&gt;0,D26/D36,"")</f>
        <v/>
      </c>
      <c r="E50" s="70">
        <f>IF(E36&gt;0,E26/E36,"")</f>
        <v/>
      </c>
      <c r="F50" s="70">
        <f>IF(F36&gt;0,F26/F36,"")</f>
        <v/>
      </c>
      <c r="G50" s="70">
        <f>IF(G36&gt;0,G26/G36,"")</f>
        <v/>
      </c>
      <c r="H50" s="70">
        <f>IF(H36&gt;0,H26/H36,"")</f>
        <v/>
      </c>
      <c r="I50" s="70">
        <f>IF(I36&gt;0,I26/I36,"")</f>
        <v/>
      </c>
      <c r="J50" s="70">
        <f>IF(J36&gt;0,J26/J36,"")</f>
        <v/>
      </c>
      <c r="K50" s="70">
        <f>IF(K36&gt;0,K26/K36,"")</f>
        <v/>
      </c>
      <c r="L50" s="70">
        <f>IF(L36&gt;0,L26/L36,"")</f>
        <v/>
      </c>
      <c r="M50" s="70">
        <f>IF(M36&gt;0,M26/M36,"")</f>
        <v/>
      </c>
      <c r="N50" s="70">
        <f>IF(N36&gt;0,N26/N36,"")</f>
        <v/>
      </c>
      <c r="O50" s="70">
        <f>IF(O36&gt;0,O26/O36,"")</f>
        <v/>
      </c>
      <c r="P50" s="70">
        <f>IF(P36&gt;0,P26/P36,"")</f>
        <v/>
      </c>
      <c r="Q50" s="70">
        <f>IF(Q36&gt;0,Q26/Q36,"")</f>
        <v/>
      </c>
      <c r="R50" s="70">
        <f>IF(R36&gt;0,R26/R36,"")</f>
        <v/>
      </c>
      <c r="S50" s="70">
        <f>IF(S36&gt;0,S26/S36,"")</f>
        <v/>
      </c>
      <c r="T50" s="70">
        <f>IF(T36&gt;0,T26/T36,"")</f>
        <v/>
      </c>
      <c r="U50" s="70">
        <f>IF(U36&gt;0,U26/U36,"")</f>
        <v/>
      </c>
      <c r="V50" s="70">
        <f>IF(V36&gt;0,V26/V36,"")</f>
        <v/>
      </c>
      <c r="W50" s="1" t="n"/>
    </row>
    <row r="51">
      <c r="A51" s="37" t="n">
        <v>48</v>
      </c>
      <c r="B51" s="40" t="inlineStr">
        <is>
          <t>Infrastructure %</t>
        </is>
      </c>
      <c r="C51" s="70">
        <f>IF(C36&gt;0,C29/C36,"")</f>
        <v/>
      </c>
      <c r="D51" s="70">
        <f>IF(D36&gt;0,D29/D36,"")</f>
        <v/>
      </c>
      <c r="E51" s="70">
        <f>IF(E36&gt;0,E29/E36,"")</f>
        <v/>
      </c>
      <c r="F51" s="70">
        <f>IF(F36&gt;0,F29/F36,"")</f>
        <v/>
      </c>
      <c r="G51" s="70">
        <f>IF(G36&gt;0,G29/G36,"")</f>
        <v/>
      </c>
      <c r="H51" s="70">
        <f>IF(H36&gt;0,H29/H36,"")</f>
        <v/>
      </c>
      <c r="I51" s="70">
        <f>IF(I36&gt;0,I29/I36,"")</f>
        <v/>
      </c>
      <c r="J51" s="70">
        <f>IF(J36&gt;0,J29/J36,"")</f>
        <v/>
      </c>
      <c r="K51" s="70">
        <f>IF(K36&gt;0,K29/K36,"")</f>
        <v/>
      </c>
      <c r="L51" s="70">
        <f>IF(L36&gt;0,L29/L36,"")</f>
        <v/>
      </c>
      <c r="M51" s="70">
        <f>IF(M36&gt;0,M29/M36,"")</f>
        <v/>
      </c>
      <c r="N51" s="70">
        <f>IF(N36&gt;0,N29/N36,"")</f>
        <v/>
      </c>
      <c r="O51" s="70">
        <f>IF(O36&gt;0,O29/O36,"")</f>
        <v/>
      </c>
      <c r="P51" s="70">
        <f>IF(P36&gt;0,P29/P36,"")</f>
        <v/>
      </c>
      <c r="Q51" s="70">
        <f>IF(Q36&gt;0,Q29/Q36,"")</f>
        <v/>
      </c>
      <c r="R51" s="70">
        <f>IF(R36&gt;0,R29/R36,"")</f>
        <v/>
      </c>
      <c r="S51" s="70">
        <f>IF(S36&gt;0,S29/S36,"")</f>
        <v/>
      </c>
      <c r="T51" s="70">
        <f>IF(T36&gt;0,T29/T36,"")</f>
        <v/>
      </c>
      <c r="U51" s="70">
        <f>IF(U36&gt;0,U29/U36,"")</f>
        <v/>
      </c>
      <c r="V51" s="70">
        <f>IF(V36&gt;0,V29/V36,"")</f>
        <v/>
      </c>
      <c r="W51" s="1" t="n"/>
    </row>
    <row r="52">
      <c r="A52" s="37" t="n">
        <v>49</v>
      </c>
      <c r="B52" s="40" t="inlineStr">
        <is>
          <t>Liquid Treasury %</t>
        </is>
      </c>
      <c r="C52" s="70">
        <f>IF(C36&gt;0,C16/C36,"")</f>
        <v/>
      </c>
      <c r="D52" s="70">
        <f>IF(D36&gt;0,D16/D36,"")</f>
        <v/>
      </c>
      <c r="E52" s="70">
        <f>IF(E36&gt;0,E16/E36,"")</f>
        <v/>
      </c>
      <c r="F52" s="70">
        <f>IF(F36&gt;0,F16/F36,"")</f>
        <v/>
      </c>
      <c r="G52" s="70">
        <f>IF(G36&gt;0,G16/G36,"")</f>
        <v/>
      </c>
      <c r="H52" s="70">
        <f>IF(H36&gt;0,H16/H36,"")</f>
        <v/>
      </c>
      <c r="I52" s="70">
        <f>IF(I36&gt;0,I16/I36,"")</f>
        <v/>
      </c>
      <c r="J52" s="70">
        <f>IF(J36&gt;0,J16/J36,"")</f>
        <v/>
      </c>
      <c r="K52" s="70">
        <f>IF(K36&gt;0,K16/K36,"")</f>
        <v/>
      </c>
      <c r="L52" s="70">
        <f>IF(L36&gt;0,L16/L36,"")</f>
        <v/>
      </c>
      <c r="M52" s="70">
        <f>IF(M36&gt;0,M16/M36,"")</f>
        <v/>
      </c>
      <c r="N52" s="70">
        <f>IF(N36&gt;0,N16/N36,"")</f>
        <v/>
      </c>
      <c r="O52" s="70">
        <f>IF(O36&gt;0,O16/O36,"")</f>
        <v/>
      </c>
      <c r="P52" s="70">
        <f>IF(P36&gt;0,P16/P36,"")</f>
        <v/>
      </c>
      <c r="Q52" s="70">
        <f>IF(Q36&gt;0,Q16/Q36,"")</f>
        <v/>
      </c>
      <c r="R52" s="70">
        <f>IF(R36&gt;0,R16/R36,"")</f>
        <v/>
      </c>
      <c r="S52" s="70">
        <f>IF(S36&gt;0,S16/S36,"")</f>
        <v/>
      </c>
      <c r="T52" s="70">
        <f>IF(T36&gt;0,T16/T36,"")</f>
        <v/>
      </c>
      <c r="U52" s="70">
        <f>IF(U36&gt;0,U16/U36,"")</f>
        <v/>
      </c>
      <c r="V52" s="70">
        <f>IF(V36&gt;0,V16/V36,"")</f>
        <v/>
      </c>
      <c r="W52" s="1" t="n"/>
    </row>
    <row r="53">
      <c r="A53" s="37" t="n">
        <v>50</v>
      </c>
      <c r="B53" s="40" t="inlineStr">
        <is>
          <t>Real Estate %</t>
        </is>
      </c>
      <c r="C53" s="70">
        <f>IF(C36&gt;0,C17/C36,"")</f>
        <v/>
      </c>
      <c r="D53" s="70">
        <f>IF(D36&gt;0,D17/D36,"")</f>
        <v/>
      </c>
      <c r="E53" s="70">
        <f>IF(E36&gt;0,E17/E36,"")</f>
        <v/>
      </c>
      <c r="F53" s="70">
        <f>IF(F36&gt;0,F17/F36,"")</f>
        <v/>
      </c>
      <c r="G53" s="70">
        <f>IF(G36&gt;0,G17/G36,"")</f>
        <v/>
      </c>
      <c r="H53" s="70">
        <f>IF(H36&gt;0,H17/H36,"")</f>
        <v/>
      </c>
      <c r="I53" s="70">
        <f>IF(I36&gt;0,I17/I36,"")</f>
        <v/>
      </c>
      <c r="J53" s="70">
        <f>IF(J36&gt;0,J17/J36,"")</f>
        <v/>
      </c>
      <c r="K53" s="70">
        <f>IF(K36&gt;0,K17/K36,"")</f>
        <v/>
      </c>
      <c r="L53" s="70">
        <f>IF(L36&gt;0,L17/L36,"")</f>
        <v/>
      </c>
      <c r="M53" s="70">
        <f>IF(M36&gt;0,M17/M36,"")</f>
        <v/>
      </c>
      <c r="N53" s="70">
        <f>IF(N36&gt;0,N17/N36,"")</f>
        <v/>
      </c>
      <c r="O53" s="70">
        <f>IF(O36&gt;0,O17/O36,"")</f>
        <v/>
      </c>
      <c r="P53" s="70">
        <f>IF(P36&gt;0,P17/P36,"")</f>
        <v/>
      </c>
      <c r="Q53" s="70">
        <f>IF(Q36&gt;0,Q17/Q36,"")</f>
        <v/>
      </c>
      <c r="R53" s="70">
        <f>IF(R36&gt;0,R17/R36,"")</f>
        <v/>
      </c>
      <c r="S53" s="70">
        <f>IF(S36&gt;0,S17/S36,"")</f>
        <v/>
      </c>
      <c r="T53" s="70">
        <f>IF(T36&gt;0,T17/T36,"")</f>
        <v/>
      </c>
      <c r="U53" s="70">
        <f>IF(U36&gt;0,U17/U36,"")</f>
        <v/>
      </c>
      <c r="V53" s="70">
        <f>IF(V36&gt;0,V17/V36,"")</f>
        <v/>
      </c>
      <c r="W53" s="1" t="n"/>
    </row>
    <row r="54">
      <c r="A54" s="37" t="n">
        <v>51</v>
      </c>
      <c r="B54" s="40" t="inlineStr">
        <is>
          <t>Extraordinary Gains %</t>
        </is>
      </c>
      <c r="C54" s="70">
        <f>IF(C36&gt;0,C18/C36,"")</f>
        <v/>
      </c>
      <c r="D54" s="70">
        <f>IF(D36&gt;0,D18/D36,"")</f>
        <v/>
      </c>
      <c r="E54" s="70">
        <f>IF(E36&gt;0,E18/E36,"")</f>
        <v/>
      </c>
      <c r="F54" s="70">
        <f>IF(F36&gt;0,F18/F36,"")</f>
        <v/>
      </c>
      <c r="G54" s="70">
        <f>IF(G36&gt;0,G18/G36,"")</f>
        <v/>
      </c>
      <c r="H54" s="70">
        <f>IF(H36&gt;0,H18/H36,"")</f>
        <v/>
      </c>
      <c r="I54" s="70">
        <f>IF(I36&gt;0,I18/I36,"")</f>
        <v/>
      </c>
      <c r="J54" s="70">
        <f>IF(J36&gt;0,J18/J36,"")</f>
        <v/>
      </c>
      <c r="K54" s="70">
        <f>IF(K36&gt;0,K18/K36,"")</f>
        <v/>
      </c>
      <c r="L54" s="70">
        <f>IF(L36&gt;0,L18/L36,"")</f>
        <v/>
      </c>
      <c r="M54" s="70">
        <f>IF(M36&gt;0,M18/M36,"")</f>
        <v/>
      </c>
      <c r="N54" s="70">
        <f>IF(N36&gt;0,N18/N36,"")</f>
        <v/>
      </c>
      <c r="O54" s="70">
        <f>IF(O36&gt;0,O18/O36,"")</f>
        <v/>
      </c>
      <c r="P54" s="70">
        <f>IF(P36&gt;0,P18/P36,"")</f>
        <v/>
      </c>
      <c r="Q54" s="70">
        <f>IF(Q36&gt;0,Q18/Q36,"")</f>
        <v/>
      </c>
      <c r="R54" s="70">
        <f>IF(R36&gt;0,R18/R36,"")</f>
        <v/>
      </c>
      <c r="S54" s="70">
        <f>IF(S36&gt;0,S18/S36,"")</f>
        <v/>
      </c>
      <c r="T54" s="70">
        <f>IF(T36&gt;0,T18/T36,"")</f>
        <v/>
      </c>
      <c r="U54" s="70">
        <f>IF(U36&gt;0,U18/U36,"")</f>
        <v/>
      </c>
      <c r="V54" s="70">
        <f>IF(V36&gt;0,V18/V36,"")</f>
        <v/>
      </c>
      <c r="W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</row>
  </sheetData>
  <mergeCells count="1">
    <mergeCell ref="B2:L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2026-02-12T12:48:46Z</dcterms:created>
  <dcterms:modified xmlns:dcterms="http://purl.org/dc/terms/" xmlns:xsi="http://www.w3.org/2001/XMLSchema-instance" xsi:type="dcterms:W3CDTF">2026-02-12T12:48:47Z</dcterms:modified>
</cp:coreProperties>
</file>