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VE Calculato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<sst xmlns="http://schemas.openxmlformats.org/spreadsheetml/2006/main" count="52" uniqueCount="52">
  <si>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Sovereign Asset Valuation Engine (SAVE)</t>
  </si>
  <si>
    <t xml:space="preserve">Calculate Real Wealth in Gold Ounces using the Consolidated Imperial Valuation (CIV) methodology</t>
  </si>
  <si>
    <t xml:space="preserve">INPUT PARAMETERS</t>
  </si>
  <si>
    <t xml:space="preserve">Ruler/Empire Name</t>
  </si>
  <si>
    <t xml:space="preserve">Akbar the Great (Mughal Empire)</t>
  </si>
  <si>
    <t xml:space="preserve">Income Valuation (Operating Business)</t>
  </si>
  <si>
    <t xml:space="preserve">Year</t>
  </si>
  <si>
    <t xml:space="preserve">Annual Gross Revenue (AGR)</t>
  </si>
  <si>
    <t xml:space="preserve">Annual Imperial Income (AII)</t>
  </si>
  <si>
    <t xml:space="preserve">Income Parameters</t>
  </si>
  <si>
    <t xml:space="preserve">Income Wealth (AII × K)</t>
  </si>
  <si>
    <t xml:space="preserve">Population (N)</t>
  </si>
  <si>
    <t xml:space="preserve">Base Output (B) oz/person/year</t>
  </si>
  <si>
    <t xml:space="preserve">Asset Valuation (Balance Sheet)</t>
  </si>
  <si>
    <t xml:space="preserve">Velocity (V) [2.0-8.0]</t>
  </si>
  <si>
    <t xml:space="preserve">Infrastructure Floor (I)</t>
  </si>
  <si>
    <t xml:space="preserve">Extraction Margin (M) [0.01-0.50]</t>
  </si>
  <si>
    <t xml:space="preserve">Liquid Treasury (L)</t>
  </si>
  <si>
    <t xml:space="preserve">Capitalization Multiple (K) [1-100]</t>
  </si>
  <si>
    <t xml:space="preserve">Imperial Real Estate (R)</t>
  </si>
  <si>
    <t xml:space="preserve">Extraordinary Gains (E)</t>
  </si>
  <si>
    <t xml:space="preserve">Asset Parameters (Balance Sheet)</t>
  </si>
  <si>
    <t xml:space="preserve">Asset Wealth (I+L+R+E)</t>
  </si>
  <si>
    <t xml:space="preserve">Liquid Treasury (L) oz</t>
  </si>
  <si>
    <t xml:space="preserve">Imperial Real Estate (R) oz</t>
  </si>
  <si>
    <t xml:space="preserve">Total Real Wealth</t>
  </si>
  <si>
    <t xml:space="preserve">Extraordinary Gains (E) oz</t>
  </si>
  <si>
    <t xml:space="preserve">(full number)</t>
  </si>
  <si>
    <t xml:space="preserve">Valuation Settings</t>
  </si>
  <si>
    <t xml:space="preserve">Nominal Dollar Value</t>
  </si>
  <si>
    <t xml:space="preserve">Gold Price ($/oz)</t>
  </si>
  <si>
    <t xml:space="preserve">CFO Dashboard</t>
  </si>
  <si>
    <t xml:space="preserve">Income-to-Asset Ratio</t>
  </si>
  <si>
    <t xml:space="preserve">Extraction Efficiency</t>
  </si>
  <si>
    <t xml:space="preserve">Per Capita Wealth</t>
  </si>
  <si>
    <t xml:space="preserve">Annual Yield (AII / Total Wealth)</t>
  </si>
  <si>
    <t xml:space="preserve">Wealth Composition</t>
  </si>
  <si>
    <t xml:space="preserve">Income Wealth %</t>
  </si>
  <si>
    <t xml:space="preserve">Asset Wealth %</t>
  </si>
  <si>
    <t xml:space="preserve">Formulas Reference</t>
  </si>
  <si>
    <t xml:space="preserve">AGR</t>
  </si>
  <si>
    <t xml:space="preserve">N × B × V</t>
  </si>
  <si>
    <t xml:space="preserve">AII</t>
  </si>
  <si>
    <t xml:space="preserve">AGR × M</t>
  </si>
  <si>
    <t xml:space="preserve">Income Wealth</t>
  </si>
  <si>
    <t xml:space="preserve">AII × K</t>
  </si>
  <si>
    <t xml:space="preserve">Infrastructure (I)</t>
  </si>
  <si>
    <t xml:space="preserve">(N × B) × 0.05</t>
  </si>
  <si>
    <t xml:space="preserve">Asset Wealth</t>
  </si>
  <si>
    <t xml:space="preserve">I + L + R + E</t>
  </si>
  <si>
    <t xml:space="preserve">Total Wealth</t>
  </si>
  <si>
    <t xml:space="preserve">Income Wealth + Asset Wealth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</si>
</sst>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&quot; oz&quot;"/>
    <numFmt numFmtId="166" formatCode="#,##0"/>
    <numFmt numFmtId="167" formatCode="0.00"/>
    <numFmt numFmtId="168" formatCode="0.0"/>
    <numFmt numFmtId="169" formatCode="0"/>
    <numFmt numFmtId="170" formatCode="#,##0&quot; gold ounces&quot;"/>
    <numFmt numFmtId="171" formatCode="\$#,##0,,&quot; T&quot;"/>
    <numFmt numFmtId="172" formatCode="\$#,##0&quot; USD&quot;"/>
    <numFmt numFmtId="173" formatCode="0.00&quot; x&quot;"/>
    <numFmt numFmtId="174" formatCode="0.0%"/>
    <numFmt numFmtId="175" formatCode="0.00&quot; oz&quot;"/>
    <numFmt numFmtId="176" formatCode="0.00%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59E0B"/>
      <name val="Cambria"/>
      <family val="0"/>
      <charset val="1"/>
    </font>
    <font>
      <sz val="10"/>
      <color rgb="FF9CA3AF"/>
      <name val="Cambria"/>
      <family val="0"/>
      <charset val="1"/>
    </font>
    <font>
      <b val="true"/>
      <sz val="12"/>
      <color rgb="FFF59E0B"/>
      <name val="Cambria"/>
      <family val="0"/>
      <charset val="1"/>
    </font>
    <font>
      <b val="true"/>
      <sz val="14"/>
      <color rgb="FFF59E0B"/>
      <name val="Cambria"/>
      <family val="0"/>
      <charset val="1"/>
    </font>
    <font>
      <sz val="11"/>
      <color rgb="FFD1D5DB"/>
      <name val="Cambria"/>
      <family val="0"/>
      <charset val="1"/>
    </font>
    <font>
      <sz val="11"/>
      <color rgb="FFFFFFFF"/>
      <name val="Cambria"/>
      <family val="0"/>
      <charset val="1"/>
    </font>
    <font>
      <b val="true"/>
      <sz val="12"/>
      <color rgb="FF60A5FA"/>
      <name val="Cambria"/>
      <family val="0"/>
      <charset val="1"/>
    </font>
    <font>
      <b val="true"/>
      <sz val="11"/>
      <color rgb="FF60A5FA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59E0B"/>
      <name val="Cambria"/>
      <family val="0"/>
      <charset val="1"/>
    </font>
    <font>
      <b val="true"/>
      <sz val="12"/>
      <color rgb="FF34D399"/>
      <name val="Cambria"/>
      <family val="0"/>
      <charset val="1"/>
    </font>
    <font>
      <b val="true"/>
      <sz val="11"/>
      <color rgb="FF34D399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9"/>
      <color rgb="FF9CA3AF"/>
      <name val="Cambria"/>
      <family val="0"/>
      <charset val="1"/>
    </font>
    <font>
      <b val="true"/>
      <sz val="14"/>
      <color rgb="FF34D399"/>
      <name val="Cambria"/>
      <family val="0"/>
      <charset val="1"/>
    </font>
    <font>
      <b val="true"/>
      <sz val="11"/>
      <color rgb="FF9CA3AF"/>
      <name val="Cambria"/>
      <family val="0"/>
      <charset val="1"/>
    </font>
    <font>
      <sz val="9"/>
      <color rgb="FF6B728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827"/>
        <bgColor rgb="FF1F2937"/>
      </patternFill>
    </fill>
    <fill>
      <patternFill patternType="solid">
        <fgColor rgb="FF1F2937"/>
        <bgColor rgb="FF111827"/>
      </patternFill>
    </fill>
    <fill>
      <patternFill patternType="solid">
        <fgColor rgb="FF374151"/>
        <bgColor rgb="FF4B5563"/>
      </patternFill>
    </fill>
    <fill>
      <patternFill patternType="solid">
        <fgColor rgb="FF78350F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0A5FA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4D399"/>
      <rgbColor rgb="FF99CC00"/>
      <rgbColor rgb="FFFFCC00"/>
      <rgbColor rgb="FFF59E0B"/>
      <rgbColor rgb="FFFF6600"/>
      <rgbColor rgb="FF6B7280"/>
      <rgbColor rgb="FF9CA3AF"/>
      <rgbColor rgb="FF003366"/>
      <rgbColor rgb="FF339966"/>
      <rgbColor rgb="FF111827"/>
      <rgbColor rgb="FF4B5563"/>
      <rgbColor rgb="FF78350F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3" min="3" style="0" width="50.49"/>
    <col collapsed="false" customWidth="true" hidden="false" outlineLevel="0" max="4" min="4" style="0" width="5"/>
    <col collapsed="false" customWidth="true" hidden="false" outlineLevel="0" max="5" min="5" style="0" width="35"/>
    <col collapsed="false" customWidth="true" hidden="false" outlineLevel="0" max="6" min="6" style="0" width="25"/>
    <col collapsed="false" customWidth="true" hidden="false" outlineLevel="0" max="7" min="7" style="0" width="3"/>
  </cols>
  <sheetData>
    <row r="1" customFormat="false" ht="67.9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2" t="s">
        <v>0</v>
      </c>
      <c r="C2" s="2"/>
      <c r="D2" s="2"/>
      <c r="E2" s="2"/>
      <c r="F2" s="2"/>
      <c r="G2" s="1"/>
    </row>
    <row r="3" customFormat="false" ht="15" hidden="false" customHeight="false" outlineLevel="0" collapsed="false">
      <c r="A3" s="1"/>
      <c r="B3" s="3" t="s">
        <v>1</v>
      </c>
      <c r="C3" s="3"/>
      <c r="D3" s="3"/>
      <c r="E3" s="3"/>
      <c r="F3" s="3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15" hidden="false" customHeight="false" outlineLevel="0" collapsed="false">
      <c r="A5" s="1"/>
      <c r="B5" s="4" t="s">
        <v>2</v>
      </c>
      <c r="C5" s="4"/>
      <c r="D5" s="1"/>
      <c r="E5" s="5" t="str">
        <f aca="false">C7&amp;" ("&amp;C8&amp;")"</f>
        <v>Akbar the Great (Mughal Empire) (1600)</v>
      </c>
      <c r="F5" s="5"/>
      <c r="G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</row>
    <row r="7" customFormat="false" ht="15" hidden="false" customHeight="false" outlineLevel="0" collapsed="false">
      <c r="A7" s="1"/>
      <c r="B7" s="6" t="s">
        <v>3</v>
      </c>
      <c r="C7" s="7" t="s">
        <v>4</v>
      </c>
      <c r="D7" s="1"/>
      <c r="E7" s="8" t="s">
        <v>5</v>
      </c>
      <c r="F7" s="8"/>
      <c r="G7" s="1"/>
    </row>
    <row r="8" customFormat="false" ht="15" hidden="false" customHeight="false" outlineLevel="0" collapsed="false">
      <c r="A8" s="1"/>
      <c r="B8" s="6" t="s">
        <v>6</v>
      </c>
      <c r="C8" s="7" t="n">
        <v>1600</v>
      </c>
      <c r="D8" s="1"/>
      <c r="E8" s="6" t="s">
        <v>7</v>
      </c>
      <c r="F8" s="9" t="n">
        <f aca="false">C11*C12*C13</f>
        <v>330000000</v>
      </c>
      <c r="G8" s="1"/>
    </row>
    <row r="9" customFormat="false" ht="15" hidden="false" customHeight="false" outlineLevel="0" collapsed="false">
      <c r="A9" s="1"/>
      <c r="B9" s="1"/>
      <c r="C9" s="1"/>
      <c r="D9" s="1"/>
      <c r="E9" s="6" t="s">
        <v>8</v>
      </c>
      <c r="F9" s="9" t="n">
        <f aca="false">F8*C14</f>
        <v>33000000</v>
      </c>
      <c r="G9" s="1"/>
    </row>
    <row r="10" customFormat="false" ht="15" hidden="false" customHeight="false" outlineLevel="0" collapsed="false">
      <c r="A10" s="1"/>
      <c r="B10" s="10" t="s">
        <v>9</v>
      </c>
      <c r="C10" s="1"/>
      <c r="D10" s="1"/>
      <c r="E10" s="11" t="s">
        <v>10</v>
      </c>
      <c r="F10" s="12" t="n">
        <f aca="false">F9*C15</f>
        <v>660000000</v>
      </c>
      <c r="G10" s="1"/>
    </row>
    <row r="11" customFormat="false" ht="15" hidden="false" customHeight="false" outlineLevel="0" collapsed="false">
      <c r="A11" s="1"/>
      <c r="B11" s="6" t="s">
        <v>11</v>
      </c>
      <c r="C11" s="13" t="n">
        <v>110000000</v>
      </c>
      <c r="D11" s="1"/>
      <c r="E11" s="1"/>
      <c r="F11" s="1"/>
      <c r="G11" s="1"/>
    </row>
    <row r="12" customFormat="false" ht="15" hidden="false" customHeight="false" outlineLevel="0" collapsed="false">
      <c r="A12" s="1"/>
      <c r="B12" s="6" t="s">
        <v>12</v>
      </c>
      <c r="C12" s="14" t="n">
        <v>0.75</v>
      </c>
      <c r="D12" s="1"/>
      <c r="E12" s="15" t="s">
        <v>13</v>
      </c>
      <c r="F12" s="15"/>
      <c r="G12" s="1"/>
    </row>
    <row r="13" customFormat="false" ht="15" hidden="false" customHeight="false" outlineLevel="0" collapsed="false">
      <c r="A13" s="1"/>
      <c r="B13" s="6" t="s">
        <v>14</v>
      </c>
      <c r="C13" s="16" t="n">
        <v>4</v>
      </c>
      <c r="D13" s="1"/>
      <c r="E13" s="6" t="s">
        <v>15</v>
      </c>
      <c r="F13" s="9" t="n">
        <f aca="false">(C11*C12)*0.05</f>
        <v>4125000</v>
      </c>
      <c r="G13" s="1"/>
    </row>
    <row r="14" customFormat="false" ht="15" hidden="false" customHeight="false" outlineLevel="0" collapsed="false">
      <c r="A14" s="1"/>
      <c r="B14" s="6" t="s">
        <v>16</v>
      </c>
      <c r="C14" s="14" t="n">
        <v>0.1</v>
      </c>
      <c r="D14" s="1"/>
      <c r="E14" s="6" t="s">
        <v>17</v>
      </c>
      <c r="F14" s="9" t="n">
        <f aca="false">C18</f>
        <v>50000000</v>
      </c>
      <c r="G14" s="1"/>
    </row>
    <row r="15" customFormat="false" ht="15" hidden="false" customHeight="false" outlineLevel="0" collapsed="false">
      <c r="A15" s="1"/>
      <c r="B15" s="6" t="s">
        <v>18</v>
      </c>
      <c r="C15" s="17" t="n">
        <v>20</v>
      </c>
      <c r="D15" s="1"/>
      <c r="E15" s="6" t="s">
        <v>19</v>
      </c>
      <c r="F15" s="9" t="n">
        <f aca="false">C19</f>
        <v>10000000</v>
      </c>
      <c r="G15" s="1"/>
    </row>
    <row r="16" customFormat="false" ht="15" hidden="false" customHeight="false" outlineLevel="0" collapsed="false">
      <c r="A16" s="1"/>
      <c r="B16" s="1"/>
      <c r="C16" s="1"/>
      <c r="D16" s="1"/>
      <c r="E16" s="6" t="s">
        <v>20</v>
      </c>
      <c r="F16" s="9" t="n">
        <f aca="false">C20</f>
        <v>5000000</v>
      </c>
      <c r="G16" s="1"/>
    </row>
    <row r="17" customFormat="false" ht="15" hidden="false" customHeight="false" outlineLevel="0" collapsed="false">
      <c r="A17" s="1"/>
      <c r="B17" s="18" t="s">
        <v>21</v>
      </c>
      <c r="C17" s="1"/>
      <c r="D17" s="1"/>
      <c r="E17" s="11" t="s">
        <v>22</v>
      </c>
      <c r="F17" s="19" t="n">
        <f aca="false">F13+C18+C19+C20</f>
        <v>69125000</v>
      </c>
      <c r="G17" s="1"/>
    </row>
    <row r="18" customFormat="false" ht="15" hidden="false" customHeight="false" outlineLevel="0" collapsed="false">
      <c r="A18" s="1"/>
      <c r="B18" s="6" t="s">
        <v>23</v>
      </c>
      <c r="C18" s="13" t="n">
        <v>50000000</v>
      </c>
      <c r="D18" s="1"/>
      <c r="E18" s="1"/>
      <c r="F18" s="1"/>
      <c r="G18" s="1"/>
    </row>
    <row r="19" customFormat="false" ht="15" hidden="false" customHeight="false" outlineLevel="0" collapsed="false">
      <c r="A19" s="1"/>
      <c r="B19" s="6" t="s">
        <v>24</v>
      </c>
      <c r="C19" s="13" t="n">
        <v>10000000</v>
      </c>
      <c r="D19" s="1"/>
      <c r="E19" s="20" t="s">
        <v>25</v>
      </c>
      <c r="F19" s="21" t="n">
        <f aca="false">F10+F17</f>
        <v>729125000</v>
      </c>
      <c r="G19" s="1"/>
    </row>
    <row r="20" customFormat="false" ht="15" hidden="false" customHeight="false" outlineLevel="0" collapsed="false">
      <c r="A20" s="1"/>
      <c r="B20" s="6" t="s">
        <v>26</v>
      </c>
      <c r="C20" s="13" t="n">
        <v>5000000</v>
      </c>
      <c r="D20" s="1"/>
      <c r="E20" s="22" t="s">
        <v>27</v>
      </c>
      <c r="F20" s="23" t="n">
        <f aca="false">F19</f>
        <v>729125000</v>
      </c>
      <c r="G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</row>
    <row r="22" customFormat="false" ht="15" hidden="false" customHeight="false" outlineLevel="0" collapsed="false">
      <c r="A22" s="1"/>
      <c r="B22" s="24" t="s">
        <v>28</v>
      </c>
      <c r="C22" s="1"/>
      <c r="D22" s="1"/>
      <c r="E22" s="20" t="s">
        <v>29</v>
      </c>
      <c r="F22" s="25" t="n">
        <f aca="false">F19*C23</f>
        <v>2114462500000</v>
      </c>
      <c r="G22" s="1"/>
    </row>
    <row r="23" customFormat="false" ht="15" hidden="false" customHeight="false" outlineLevel="0" collapsed="false">
      <c r="A23" s="1"/>
      <c r="B23" s="6" t="s">
        <v>30</v>
      </c>
      <c r="C23" s="13" t="n">
        <v>2900</v>
      </c>
      <c r="D23" s="1"/>
      <c r="E23" s="22" t="str">
        <f aca="false">CONCATENATE("@ $",TEXT(C23,"#,##0"),"/oz")</f>
        <v>@ $2,900/oz</v>
      </c>
      <c r="F23" s="26" t="n">
        <f aca="false">F22</f>
        <v>2114462500000</v>
      </c>
      <c r="G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1"/>
      <c r="C25" s="1"/>
      <c r="D25" s="1"/>
      <c r="E25" s="27" t="s">
        <v>31</v>
      </c>
      <c r="F25" s="27"/>
      <c r="G25" s="1"/>
    </row>
    <row r="26" customFormat="false" ht="15" hidden="false" customHeight="false" outlineLevel="0" collapsed="false">
      <c r="A26" s="1"/>
      <c r="B26" s="1"/>
      <c r="C26" s="1"/>
      <c r="D26" s="1"/>
      <c r="E26" s="6" t="s">
        <v>32</v>
      </c>
      <c r="F26" s="28" t="n">
        <f aca="false">IF(F17&gt;0,F10/F17,0)</f>
        <v>9.54792043399638</v>
      </c>
      <c r="G26" s="1"/>
    </row>
    <row r="27" customFormat="false" ht="15" hidden="false" customHeight="false" outlineLevel="0" collapsed="false">
      <c r="A27" s="1"/>
      <c r="B27" s="1"/>
      <c r="C27" s="1"/>
      <c r="D27" s="1"/>
      <c r="E27" s="6" t="s">
        <v>33</v>
      </c>
      <c r="F27" s="29" t="n">
        <f aca="false">C14</f>
        <v>0.1</v>
      </c>
      <c r="G27" s="1"/>
    </row>
    <row r="28" customFormat="false" ht="15" hidden="false" customHeight="false" outlineLevel="0" collapsed="false">
      <c r="A28" s="1"/>
      <c r="B28" s="1"/>
      <c r="C28" s="1"/>
      <c r="D28" s="1"/>
      <c r="E28" s="6" t="s">
        <v>34</v>
      </c>
      <c r="F28" s="30" t="n">
        <f aca="false">IF(C11&gt;0,F19/C11,0)</f>
        <v>6.62840909090909</v>
      </c>
      <c r="G28" s="1"/>
    </row>
    <row r="29" customFormat="false" ht="15" hidden="false" customHeight="false" outlineLevel="0" collapsed="false">
      <c r="A29" s="1"/>
      <c r="B29" s="1"/>
      <c r="C29" s="1"/>
      <c r="D29" s="1"/>
      <c r="E29" s="6" t="s">
        <v>35</v>
      </c>
      <c r="F29" s="31" t="n">
        <f aca="false">IF(F19&gt;0,F9/F19,0)</f>
        <v>0.0452597291273787</v>
      </c>
      <c r="G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1"/>
      <c r="C31" s="1"/>
      <c r="D31" s="1"/>
      <c r="E31" s="11" t="s">
        <v>36</v>
      </c>
      <c r="F31" s="1"/>
      <c r="G31" s="1"/>
    </row>
    <row r="32" customFormat="false" ht="15" hidden="false" customHeight="false" outlineLevel="0" collapsed="false">
      <c r="A32" s="1"/>
      <c r="B32" s="1"/>
      <c r="C32" s="1"/>
      <c r="D32" s="1"/>
      <c r="E32" s="6" t="s">
        <v>37</v>
      </c>
      <c r="F32" s="32" t="n">
        <f aca="false">IF(F19&gt;0,F10/F19,0)</f>
        <v>0.905194582547574</v>
      </c>
      <c r="G32" s="1"/>
    </row>
    <row r="33" customFormat="false" ht="15" hidden="false" customHeight="false" outlineLevel="0" collapsed="false">
      <c r="A33" s="1"/>
      <c r="B33" s="1"/>
      <c r="C33" s="1"/>
      <c r="D33" s="1"/>
      <c r="E33" s="6" t="s">
        <v>38</v>
      </c>
      <c r="F33" s="32" t="n">
        <f aca="false">IF(F19&gt;0,F17/F19,0)</f>
        <v>0.0948054174524258</v>
      </c>
      <c r="G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</row>
    <row r="35" customFormat="false" ht="15" hidden="false" customHeight="false" outlineLevel="0" collapsed="false">
      <c r="A35" s="1"/>
      <c r="B35" s="1"/>
      <c r="C35" s="1"/>
      <c r="D35" s="1"/>
      <c r="E35" s="33" t="s">
        <v>39</v>
      </c>
      <c r="F35" s="1"/>
      <c r="G35" s="1"/>
    </row>
    <row r="36" customFormat="false" ht="15" hidden="false" customHeight="false" outlineLevel="0" collapsed="false">
      <c r="A36" s="1"/>
      <c r="B36" s="1"/>
      <c r="C36" s="1"/>
      <c r="D36" s="1"/>
      <c r="E36" s="34" t="s">
        <v>40</v>
      </c>
      <c r="F36" s="34" t="s">
        <v>41</v>
      </c>
      <c r="G36" s="1"/>
    </row>
    <row r="37" customFormat="false" ht="15" hidden="false" customHeight="false" outlineLevel="0" collapsed="false">
      <c r="A37" s="1"/>
      <c r="B37" s="1"/>
      <c r="C37" s="1"/>
      <c r="D37" s="1"/>
      <c r="E37" s="34" t="s">
        <v>42</v>
      </c>
      <c r="F37" s="34" t="s">
        <v>43</v>
      </c>
      <c r="G37" s="1"/>
    </row>
    <row r="38" customFormat="false" ht="15" hidden="false" customHeight="false" outlineLevel="0" collapsed="false">
      <c r="A38" s="1"/>
      <c r="B38" s="1"/>
      <c r="C38" s="1"/>
      <c r="D38" s="1"/>
      <c r="E38" s="34" t="s">
        <v>44</v>
      </c>
      <c r="F38" s="34" t="s">
        <v>45</v>
      </c>
      <c r="G38" s="1"/>
    </row>
    <row r="39" customFormat="false" ht="15" hidden="false" customHeight="false" outlineLevel="0" collapsed="false">
      <c r="A39" s="1"/>
      <c r="B39" s="1"/>
      <c r="C39" s="1"/>
      <c r="D39" s="1"/>
      <c r="E39" s="34" t="s">
        <v>46</v>
      </c>
      <c r="F39" s="34" t="s">
        <v>47</v>
      </c>
      <c r="G39" s="1"/>
    </row>
    <row r="40" customFormat="false" ht="15" hidden="false" customHeight="false" outlineLevel="0" collapsed="false">
      <c r="A40" s="1"/>
      <c r="B40" s="1"/>
      <c r="C40" s="1"/>
      <c r="D40" s="1"/>
      <c r="E40" s="34" t="s">
        <v>48</v>
      </c>
      <c r="F40" s="34" t="s">
        <v>49</v>
      </c>
      <c r="G40" s="1"/>
    </row>
    <row r="41" customFormat="false" ht="15" hidden="false" customHeight="false" outlineLevel="0" collapsed="false">
      <c r="A41" s="1"/>
      <c r="B41" s="1"/>
      <c r="C41" s="1"/>
      <c r="D41" s="1"/>
      <c r="E41" s="34" t="s">
        <v>50</v>
      </c>
      <c r="F41" s="34" t="s">
        <v>51</v>
      </c>
      <c r="G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</row>
  </sheetData>
  <mergeCells count="7">
    <mergeCell ref="B2:F2"/>
    <mergeCell ref="B3:F3"/>
    <mergeCell ref="B5:C5"/>
    <mergeCell ref="E5:F5"/>
    <mergeCell ref="E7:F7"/>
    <mergeCell ref="E12:F12"/>
    <mergeCell ref="E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2026-02-12T12:41:01Z</dcterms:created>
  <dc:creator>openpyxl</dc:creator>
  <dc:description/>
  <dc:language>en-US</dc:language>
  <cp:lastModifiedBy/>
  <dcterms:modified xsi:type="dcterms:W3CDTF">2026-02-12T07:43:54Z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