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AVE Calculator" sheetId="1" state="visible" r:id="rId2"/>
    <sheet name="Ruler Table" sheetId="2" state="visible" r:id="rId3"/>
    <sheet name="Comparison Table" sheetId="3" state="visible" r:id="rId4"/>
    <sheet name="Read Me"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<sst xmlns="http://schemas.openxmlformats.org/spreadsheetml/2006/main" count="357" uniqueCount="279">
  <si>
    <t xml:space="preserve">Sovereign Asset Valuation Engine (SAVE)</t>
  </si>
  <si>
    <t xml:space="preserve">Calculate Real Wealth in Gold Ounces using the Consolidated Imperial Valuation (CIV) methodology</t>
  </si>
  <si>
    <t xml:space="preserve">INPUT PARAMETERS</t>
  </si>
  <si>
    <t xml:space="preserve">Ruler/Empire Name</t>
  </si>
  <si>
    <t xml:space="preserve">Akbar the Great (Mughal Empire)</t>
  </si>
  <si>
    <t xml:space="preserve">Income Valuation (Operating Business)</t>
  </si>
  <si>
    <t xml:space="preserve">Year</t>
  </si>
  <si>
    <t xml:space="preserve">Annual Gross Revenue (AGR)</t>
  </si>
  <si>
    <t xml:space="preserve">Annual Imperial Income (AII)</t>
  </si>
  <si>
    <t xml:space="preserve">Income Parameters</t>
  </si>
  <si>
    <t xml:space="preserve">Income Wealth (AII × K)</t>
  </si>
  <si>
    <t xml:space="preserve">Population (N)</t>
  </si>
  <si>
    <t xml:space="preserve">Base Output (B) oz/person/year</t>
  </si>
  <si>
    <t xml:space="preserve">Asset Valuation (Balance Sheet)</t>
  </si>
  <si>
    <t xml:space="preserve">Velocity (V) [2.0-8.0]</t>
  </si>
  <si>
    <t xml:space="preserve">Infrastructure Floor (I)</t>
  </si>
  <si>
    <t xml:space="preserve">Extraction Margin (M) [0.01-0.50]</t>
  </si>
  <si>
    <t xml:space="preserve">Liquid Treasury (L)</t>
  </si>
  <si>
    <t xml:space="preserve">Capitalization Multiple (K) [1-100]</t>
  </si>
  <si>
    <t xml:space="preserve">Imperial Real Estate (R)</t>
  </si>
  <si>
    <t xml:space="preserve">Extraordinary Gains (E)</t>
  </si>
  <si>
    <t xml:space="preserve">Asset Parameters (Balance Sheet)</t>
  </si>
  <si>
    <t xml:space="preserve">Asset Wealth (I+L+R+E)</t>
  </si>
  <si>
    <t xml:space="preserve">Liquid Treasury (L) oz</t>
  </si>
  <si>
    <t xml:space="preserve">Imperial Real Estate (R) oz</t>
  </si>
  <si>
    <t xml:space="preserve">Total Real Wealth</t>
  </si>
  <si>
    <t xml:space="preserve">Extraordinary Gains (E) oz</t>
  </si>
  <si>
    <t xml:space="preserve">(full number)</t>
  </si>
  <si>
    <t xml:space="preserve">Valuation Settings</t>
  </si>
  <si>
    <t xml:space="preserve">Nominal Dollar Value</t>
  </si>
  <si>
    <t xml:space="preserve">Gold Price ($/oz)</t>
  </si>
  <si>
    <t xml:space="preserve">CFO Dashboard</t>
  </si>
  <si>
    <t xml:space="preserve">Income-to-Asset Ratio</t>
  </si>
  <si>
    <t xml:space="preserve">Extraction Efficiency</t>
  </si>
  <si>
    <t xml:space="preserve">Per Capita Wealth</t>
  </si>
  <si>
    <t xml:space="preserve">Annual Yield (AII / Total Wealth)</t>
  </si>
  <si>
    <t xml:space="preserve">Wealth Composition</t>
  </si>
  <si>
    <t xml:space="preserve">Income Wealth %</t>
  </si>
  <si>
    <t xml:space="preserve">Asset Wealth %</t>
  </si>
  <si>
    <t xml:space="preserve">Formulas Reference</t>
  </si>
  <si>
    <t xml:space="preserve">AGR</t>
  </si>
  <si>
    <t xml:space="preserve">N × B × V</t>
  </si>
  <si>
    <t xml:space="preserve">AII</t>
  </si>
  <si>
    <t xml:space="preserve">AGR × M</t>
  </si>
  <si>
    <t xml:space="preserve">Income Wealth</t>
  </si>
  <si>
    <t xml:space="preserve">AII × K</t>
  </si>
  <si>
    <t xml:space="preserve">Infrastructure (I)</t>
  </si>
  <si>
    <t xml:space="preserve">(N × B) × 0.05</t>
  </si>
  <si>
    <t xml:space="preserve">Asset Wealth</t>
  </si>
  <si>
    <t xml:space="preserve">I + L + R + E</t>
  </si>
  <si>
    <t xml:space="preserve">Total Wealth</t>
  </si>
  <si>
    <t xml:space="preserve">Income Wealth + Asset Wealth</t>
  </si>
  <si>
    <t xml:space="preserve">SAVE Ruler Table - Enter one ruler per row, results auto-calculate</t>
  </si>
  <si>
    <t xml:space="preserve">Identity</t>
  </si>
  <si>
    <t xml:space="preserve">Asset Parameters</t>
  </si>
  <si>
    <t xml:space="preserve">Settings</t>
  </si>
  <si>
    <t xml:space="preserve">Income Valuation</t>
  </si>
  <si>
    <t xml:space="preserve">Asset Valuation</t>
  </si>
  <si>
    <t xml:space="preserve">CFO Metrics</t>
  </si>
  <si>
    <t xml:space="preserve">#</t>
  </si>
  <si>
    <t xml:space="preserve">Base Output (B)</t>
  </si>
  <si>
    <t xml:space="preserve">Velocity (V)</t>
  </si>
  <si>
    <t xml:space="preserve">Margin (M)</t>
  </si>
  <si>
    <t xml:space="preserve">Cap Mult (K)</t>
  </si>
  <si>
    <t xml:space="preserve">Treasury (L)</t>
  </si>
  <si>
    <t xml:space="preserve">Real Estate (R)</t>
  </si>
  <si>
    <t xml:space="preserve">Extra Gains (E)</t>
  </si>
  <si>
    <t xml:space="preserve">Gold Price</t>
  </si>
  <si>
    <t xml:space="preserve">Infrastructure</t>
  </si>
  <si>
    <t xml:space="preserve">Total Wealth (oz)</t>
  </si>
  <si>
    <t xml:space="preserve">Total (B oz)</t>
  </si>
  <si>
    <t xml:space="preserve">Nominal USD</t>
  </si>
  <si>
    <t xml:space="preserve">Nominal ($T)</t>
  </si>
  <si>
    <t xml:space="preserve">Income/Asset</t>
  </si>
  <si>
    <t xml:space="preserve">Per Capita</t>
  </si>
  <si>
    <t xml:space="preserve">Annual Yield</t>
  </si>
  <si>
    <t xml:space="preserve">Income %</t>
  </si>
  <si>
    <t xml:space="preserve">Asset %</t>
  </si>
  <si>
    <t xml:space="preserve">Emperor Shenzong (Song Dynasty)</t>
  </si>
  <si>
    <t xml:space="preserve">Tsar Nicholas II (Russian Empire)</t>
  </si>
  <si>
    <t xml:space="preserve">Wu Zetian (Tang/Zhou Dynasty China)</t>
  </si>
  <si>
    <t xml:space="preserve">Genghis Khan (Mongol Empire)</t>
  </si>
  <si>
    <t xml:space="preserve">Augustus Caesar (Roman Empire)</t>
  </si>
  <si>
    <t xml:space="preserve">Philip II (Spanish Empire)</t>
  </si>
  <si>
    <t xml:space="preserve">Mir Osman Ali Khan (Nizam of Hyderabad)</t>
  </si>
  <si>
    <t xml:space="preserve">Mansa Musa I (Mali Empire)</t>
  </si>
  <si>
    <t xml:space="preserve">Rothschild Family (Private Bankers)</t>
  </si>
  <si>
    <t xml:space="preserve">Jakob Fugger (Private Banker)</t>
  </si>
  <si>
    <t xml:space="preserve">Moctezuma II (Aztec Empire)</t>
  </si>
  <si>
    <t xml:space="preserve">Atahualpa (Inca Empire)</t>
  </si>
  <si>
    <t xml:space="preserve">King Solomon (Israel)</t>
  </si>
  <si>
    <t xml:space="preserve">William the Conqueror (England)</t>
  </si>
  <si>
    <t xml:space="preserve">John Jacob Astor (Private Businessman)</t>
  </si>
  <si>
    <t xml:space="preserve">SAVE Comparison Table - Enter rulers in columns, results auto-calculate</t>
  </si>
  <si>
    <t xml:space="preserve">Ruler 1</t>
  </si>
  <si>
    <t xml:space="preserve">Ruler 2</t>
  </si>
  <si>
    <t xml:space="preserve">Ruler 3</t>
  </si>
  <si>
    <t xml:space="preserve">Ruler 4</t>
  </si>
  <si>
    <t xml:space="preserve">Ruler 5</t>
  </si>
  <si>
    <t xml:space="preserve">Ruler 6</t>
  </si>
  <si>
    <t xml:space="preserve">Ruler 7</t>
  </si>
  <si>
    <t xml:space="preserve">Ruler 8</t>
  </si>
  <si>
    <t xml:space="preserve">Ruler 9</t>
  </si>
  <si>
    <t xml:space="preserve">Ruler 10</t>
  </si>
  <si>
    <t xml:space="preserve">Ruler 11</t>
  </si>
  <si>
    <t xml:space="preserve">Ruler 12</t>
  </si>
  <si>
    <t xml:space="preserve">Ruler 13</t>
  </si>
  <si>
    <t xml:space="preserve">Ruler 14</t>
  </si>
  <si>
    <t xml:space="preserve">Ruler 15</t>
  </si>
  <si>
    <t xml:space="preserve">Ruler 16</t>
  </si>
  <si>
    <t xml:space="preserve">Ruler 17</t>
  </si>
  <si>
    <t xml:space="preserve">Ruler 18</t>
  </si>
  <si>
    <t xml:space="preserve">Ruler 19</t>
  </si>
  <si>
    <t xml:space="preserve">Ruler 20</t>
  </si>
  <si>
    <t xml:space="preserve">Base Output (B) oz/person/yr</t>
  </si>
  <si>
    <t xml:space="preserve">Extraction Margin (M)</t>
  </si>
  <si>
    <t xml:space="preserve">Capitalization Multiple (K)</t>
  </si>
  <si>
    <t xml:space="preserve">INCOME VALUATION</t>
  </si>
  <si>
    <t xml:space="preserve">ASSET VALUATION</t>
  </si>
  <si>
    <t xml:space="preserve">+ Liquid Treasury (L)</t>
  </si>
  <si>
    <t xml:space="preserve">+ Imperial Real Estate (R)</t>
  </si>
  <si>
    <t xml:space="preserve">+ Extraordinary Gains (E)</t>
  </si>
  <si>
    <t xml:space="preserve">TOTAL WEALTH</t>
  </si>
  <si>
    <t xml:space="preserve">Total Real Wealth (oz)</t>
  </si>
  <si>
    <t xml:space="preserve">Total Wealth (Billions oz)</t>
  </si>
  <si>
    <t xml:space="preserve">Nominal Value (USD)</t>
  </si>
  <si>
    <t xml:space="preserve">Nominal Value (Trillions)</t>
  </si>
  <si>
    <t xml:space="preserve">CFO METRICS</t>
  </si>
  <si>
    <t xml:space="preserve">Per Capita Wealth (oz)</t>
  </si>
  <si>
    <t xml:space="preserve">WEALTH COMPOSITION %</t>
  </si>
  <si>
    <t xml:space="preserve">Infrastructure %</t>
  </si>
  <si>
    <t xml:space="preserve">Liquid Treasury %</t>
  </si>
  <si>
    <t xml:space="preserve">Real Estate %</t>
  </si>
  <si>
    <t xml:space="preserve">Extraordinary Gains %</t>
  </si>
  <si>
    <t xml:space="preserve">SOVEREIGN ASSET VALUATION ENGINE (SAVE)</t>
  </si>
  <si>
    <t xml:space="preserve">User Guide &amp; Model Documentation</t>
  </si>
  <si>
    <t xml:space="preserve">1. OVERVIEW</t>
  </si>
  <si>
    <t xml:space="preserve">The Sovereign Asset Valuation Engine (SAVE) calculates the 'Real Wealth' of historical sovereign rulers using the Consolidated Imperial Valuation (CIV) methodology. All values are expressed in Gold Ounces as an inflation-neutral unit of account.</t>
  </si>
  <si>
    <t xml:space="preserve">The model combines two approaches:</t>
  </si>
  <si>
    <t xml:space="preserve">  • Income Valuation - Values the ruler's ongoing revenue stream (like valuing a business)</t>
  </si>
  <si>
    <t xml:space="preserve">  • Asset Valuation - Values the ruler's accumulated assets (like a balance sheet)</t>
  </si>
  <si>
    <t xml:space="preserve">2. SPREADSHEET TABS</t>
  </si>
  <si>
    <t xml:space="preserve">SAVE Calculator</t>
  </si>
  <si>
    <t xml:space="preserve">Single-ruler calculator with inputs on the left and results on the right. Good for detailed analysis of one ruler at a time.</t>
  </si>
  <si>
    <t xml:space="preserve">Comparison Table</t>
  </si>
  <si>
    <t xml:space="preserve">Variables in rows, rulers in columns. Good for comparing specific metrics across multiple rulers. Enter data in columns C, D, E, etc.</t>
  </si>
  <si>
    <t xml:space="preserve">Ruler Table</t>
  </si>
  <si>
    <t xml:space="preserve">Rulers in rows, variables in columns. Traditional spreadsheet format - one ruler per row. Best for building a database of many rulers. Pre-populated with 16 historical figures.</t>
  </si>
  <si>
    <t xml:space="preserve">3. CORE FORMULAS</t>
  </si>
  <si>
    <t xml:space="preserve">Total Real Wealth = Income Wealth + Asset Wealth</t>
  </si>
  <si>
    <t xml:space="preserve">Income Wealth Calculation:</t>
  </si>
  <si>
    <t xml:space="preserve">  AGR = N × B × V</t>
  </si>
  <si>
    <t xml:space="preserve">  AII = AGR × M</t>
  </si>
  <si>
    <t xml:space="preserve">  Income Wealth = AII × K</t>
  </si>
  <si>
    <t xml:space="preserve">Asset Wealth Calculation:</t>
  </si>
  <si>
    <t xml:space="preserve">  Infrastructure (I) = (N × B) × 0.05</t>
  </si>
  <si>
    <t xml:space="preserve">  Asset Wealth = I + L + R + E</t>
  </si>
  <si>
    <t xml:space="preserve">Sovereign Asset Valuation Engine.</t>
  </si>
  <si>
    <t xml:space="preserve">4. INPUT VARIABLES</t>
  </si>
  <si>
    <t xml:space="preserve">-</t>
  </si>
  <si>
    <t xml:space="preserve">Name of the sovereign ruler and their empire/kingdom</t>
  </si>
  <si>
    <t xml:space="preserve">Text</t>
  </si>
  <si>
    <t xml:space="preserve">Peak year of wealth measurement (use negative for BC)</t>
  </si>
  <si>
    <t xml:space="preserve">Number</t>
  </si>
  <si>
    <t xml:space="preserve">Population</t>
  </si>
  <si>
    <t xml:space="preserve">N</t>
  </si>
  <si>
    <t xml:space="preserve">Total population under the ruler's control. For private individuals (non-sovereigns), use 1.</t>
  </si>
  <si>
    <t xml:space="preserve">Number (persons)</t>
  </si>
  <si>
    <t xml:space="preserve">Base Output</t>
  </si>
  <si>
    <t xml:space="preserve">B</t>
  </si>
  <si>
    <t xml:space="preserve">Economic output per person per year in gold ounce equivalents. Default 1.0 oz. Lower for pre-industrial/subsistence economies (0.3-0.8), higher for advanced economies (1.0-1.5).</t>
  </si>
  <si>
    <t xml:space="preserve">oz/person/year</t>
  </si>
  <si>
    <t xml:space="preserve">Velocity</t>
  </si>
  <si>
    <t xml:space="preserve">V</t>
  </si>
  <si>
    <t xml:space="preserve">Economic velocity multiplier reflecting how actively wealth circulates. Range 2.0-8.0. Lower for barter/subsistence economies, higher for monetized economies with banking.</t>
  </si>
  <si>
    <t xml:space="preserve">Multiplier (2.0-8.0)</t>
  </si>
  <si>
    <t xml:space="preserve">Extraction Margin</t>
  </si>
  <si>
    <t xml:space="preserve">M</t>
  </si>
  <si>
    <t xml:space="preserve">Percentage of economic output the ruler extracts through taxes, tribute, monopolies. Range 0.01-0.50 (1%-50%). Typical range 0.10-0.25.</t>
  </si>
  <si>
    <t xml:space="preserve">Decimal (0.01-0.50)</t>
  </si>
  <si>
    <t xml:space="preserve">Capitalization Multiple</t>
  </si>
  <si>
    <t xml:space="preserve">K</t>
  </si>
  <si>
    <t xml:space="preserve">Multiple applied to annual income to get total value (like P/E ratio). Default 20. Lower for unstable regimes (5-15), higher for stable empires (20-25).</t>
  </si>
  <si>
    <t xml:space="preserve">Multiplier (1-100)</t>
  </si>
  <si>
    <t xml:space="preserve">Liquid Treasury</t>
  </si>
  <si>
    <t xml:space="preserve">L</t>
  </si>
  <si>
    <t xml:space="preserve">Gold, silver, jewels, and cash reserves in the ruler's treasury. Expressed in gold ounce equivalents.</t>
  </si>
  <si>
    <t xml:space="preserve">Gold ounces</t>
  </si>
  <si>
    <t xml:space="preserve">Imperial Real Estate</t>
  </si>
  <si>
    <t xml:space="preserve">R</t>
  </si>
  <si>
    <t xml:space="preserve">Value of crown lands, palaces, mines, monopolies, and productive assets. Expressed in gold ounce equivalents.</t>
  </si>
  <si>
    <t xml:space="preserve">Extraordinary Gains</t>
  </si>
  <si>
    <t xml:space="preserve">E</t>
  </si>
  <si>
    <t xml:space="preserve">One-time windfalls from conquest, inheritance, or plunder. Not recurring income.</t>
  </si>
  <si>
    <t xml:space="preserve">$/oz</t>
  </si>
  <si>
    <t xml:space="preserve">Current gold price in USD per troy ounce. Used to convert gold ounces to nominal USD value. Default $2,900.</t>
  </si>
  <si>
    <t xml:space="preserve">USD per oz</t>
  </si>
  <si>
    <t xml:space="preserve">5. OUTPUT VARIABLES (Calculated)</t>
  </si>
  <si>
    <t xml:space="preserve">Annual Gross Revenue</t>
  </si>
  <si>
    <t xml:space="preserve">Total economic output under the ruler's control.</t>
  </si>
  <si>
    <t xml:space="preserve">Annual Imperial Income</t>
  </si>
  <si>
    <t xml:space="preserve">Portion of AGR extracted by the ruler annually.</t>
  </si>
  <si>
    <t xml:space="preserve">Capitalized value of the income stream.</t>
  </si>
  <si>
    <t xml:space="preserve">Infrastructure Floor</t>
  </si>
  <si>
    <t xml:space="preserve">I</t>
  </si>
  <si>
    <t xml:space="preserve">Minimum infrastructure value (5% of base economic output).</t>
  </si>
  <si>
    <t xml:space="preserve">Sum of all asset components.</t>
  </si>
  <si>
    <t xml:space="preserve">Combined income and asset wealth in gold ounces.</t>
  </si>
  <si>
    <t xml:space="preserve">Total (Billions)</t>
  </si>
  <si>
    <t xml:space="preserve">Total wealth expressed in billions of gold ounces.</t>
  </si>
  <si>
    <t xml:space="preserve">Total / 1,000,000,000</t>
  </si>
  <si>
    <t xml:space="preserve">Total wealth converted to US dollars.</t>
  </si>
  <si>
    <t xml:space="preserve">Total × Gold Price</t>
  </si>
  <si>
    <t xml:space="preserve">Nominal (Trillions)</t>
  </si>
  <si>
    <t xml:space="preserve">Nominal value in trillions of USD.</t>
  </si>
  <si>
    <t xml:space="preserve">Nominal / 1,000,000,000,000</t>
  </si>
  <si>
    <t xml:space="preserve">6. CFO METRICS (Calculated)</t>
  </si>
  <si>
    <t xml:space="preserve">Ratio of income wealth to asset wealth. Higher = more income-driven wealth.</t>
  </si>
  <si>
    <t xml:space="preserve">Income Wealth / Asset Wealth</t>
  </si>
  <si>
    <t xml:space="preserve">Same as Extraction Margin (M). Shows % of economy captured.</t>
  </si>
  <si>
    <t xml:space="preserve">M (as percentage)</t>
  </si>
  <si>
    <t xml:space="preserve">Total wealth divided by population. Wealth per person.</t>
  </si>
  <si>
    <t xml:space="preserve">Total Wealth / N</t>
  </si>
  <si>
    <t xml:space="preserve">Annual income as % of total wealth. Like dividend yield.</t>
  </si>
  <si>
    <t xml:space="preserve">AII / Total Wealth</t>
  </si>
  <si>
    <t xml:space="preserve">Percentage of total wealth from income valuation.</t>
  </si>
  <si>
    <t xml:space="preserve">Income Wealth / Total</t>
  </si>
  <si>
    <t xml:space="preserve">Percentage of total wealth from asset valuation.</t>
  </si>
  <si>
    <t xml:space="preserve">Asset Wealth / Total</t>
  </si>
  <si>
    <t xml:space="preserve">7. HOW TO USE</t>
  </si>
  <si>
    <t xml:space="preserve">For Single Ruler Analysis:</t>
  </si>
  <si>
    <t xml:space="preserve">  1. Go to 'SAVE Calculator' tab</t>
  </si>
  <si>
    <t xml:space="preserve">  2. Enter ruler name and year</t>
  </si>
  <si>
    <t xml:space="preserve">  3. Fill in Income Parameters (N, B, V, M, K)</t>
  </si>
  <si>
    <t xml:space="preserve">  4. Fill in Asset Parameters (L, R, E)</t>
  </si>
  <si>
    <t xml:space="preserve">  5. Adjust gold price if needed</t>
  </si>
  <si>
    <t xml:space="preserve">  6. Results appear automatically on the right</t>
  </si>
  <si>
    <t xml:space="preserve">For Multiple Ruler Comparison:</t>
  </si>
  <si>
    <t xml:space="preserve">  1. Go to 'Ruler Table' tab</t>
  </si>
  <si>
    <t xml:space="preserve">  2. Each row is one ruler - fill in columns B through L (inputs)</t>
  </si>
  <si>
    <t xml:space="preserve">  3. Columns M through Z calculate automatically</t>
  </si>
  <si>
    <t xml:space="preserve">  4. Sort by any column to rank rulers</t>
  </si>
  <si>
    <t xml:space="preserve">  5. Use 'Comparison Table' tab for vertical comparison view</t>
  </si>
  <si>
    <t xml:space="preserve">8. SPECIAL CASES</t>
  </si>
  <si>
    <t xml:space="preserve">Private Individuals (Non-Sovereigns):</t>
  </si>
  <si>
    <t xml:space="preserve">For private bankers, merchants, or families (e.g., Rothschilds, Fugger, Astor) who did not rule populations:</t>
  </si>
  <si>
    <t xml:space="preserve">  • Set Population (N) = 1</t>
  </si>
  <si>
    <t xml:space="preserve">  • Set Base Output (B) = 0.01</t>
  </si>
  <si>
    <t xml:space="preserve">  • Set Extraction Margin (M) = 0.01</t>
  </si>
  <si>
    <t xml:space="preserve">  • Set Capitalization Multiple (K) = 1</t>
  </si>
  <si>
    <t xml:space="preserve">  • Enter their actual wealth in Liquid Treasury (L) and Real Estate (R)</t>
  </si>
  <si>
    <t xml:space="preserve">  • Their wealth will be purely asset-based</t>
  </si>
  <si>
    <t xml:space="preserve">Ancient Rulers with Uncertain Data:</t>
  </si>
  <si>
    <t xml:space="preserve">  • Use conservative population estimates</t>
  </si>
  <si>
    <t xml:space="preserve">  • Lower Base Output for pre-industrial economies (0.3-0.5)</t>
  </si>
  <si>
    <t xml:space="preserve">  • Lower Velocity for barter economies (2.0-3.0)</t>
  </si>
  <si>
    <t xml:space="preserve">  • Lower Capitalization Multiple for unstable regimes (5-15)</t>
  </si>
  <si>
    <t xml:space="preserve">9. INTERPRETING RESULTS</t>
  </si>
  <si>
    <t xml:space="preserve">Wealth Composition:</t>
  </si>
  <si>
    <t xml:space="preserve">  • High Income % (&gt;80%): Wealth based on economic control (large empires)</t>
  </si>
  <si>
    <t xml:space="preserve">  • High Asset % (&gt;50%): Wealth based on accumulated treasure (conquest, inheritance)</t>
  </si>
  <si>
    <t xml:space="preserve">  • Balanced: Mix of ongoing revenue and stored wealth</t>
  </si>
  <si>
    <t xml:space="preserve">Income-to-Asset Ratio:</t>
  </si>
  <si>
    <t xml:space="preserve">  • &gt;10x: Empire primarily valued for its economic output</t>
  </si>
  <si>
    <t xml:space="preserve">  • 1-10x: Balanced between income and assets</t>
  </si>
  <si>
    <t xml:space="preserve">  • &lt;1x: Wealth primarily from accumulated assets (typical for private individuals)</t>
  </si>
  <si>
    <t xml:space="preserve">Per Capita Wealth:</t>
  </si>
  <si>
    <t xml:space="preserve">  • Higher = more extractive or more developed economy</t>
  </si>
  <si>
    <t xml:space="preserve">  • Compare rulers with similar time periods for meaningful comparison</t>
  </si>
  <si>
    <t xml:space="preserve">10. CAVEATS &amp; LIMITATIONS</t>
  </si>
  <si>
    <t xml:space="preserve">  • Historical data is often uncertain - treat results as estimates</t>
  </si>
  <si>
    <t xml:space="preserve">  • Model designed for sovereign rulers - private individuals need modified approach</t>
  </si>
  <si>
    <t xml:space="preserve">  • Gold ounce equivalents are approximations for non-monetary economies</t>
  </si>
  <si>
    <t xml:space="preserve">  • Nominal USD values depend on gold price assumption</t>
  </si>
  <si>
    <t xml:space="preserve">  • Cross-era comparisons have inherent limitations</t>
  </si>
  <si>
    <t xml:space="preserve">  • Model assumes stable rule - may overvalue unstable empires</t>
  </si>
  <si>
    <t xml:space="preserve">11. VERSION</t>
  </si>
  <si>
    <t xml:space="preserve">SAVE Model v1.0 - Consolidated Imperial Valuation (CIV) Methodology</t>
  </si>
  <si>
    <t xml:space="preserve">Created: 2026</t>
  </si>
</sst>
</file>

<file path=xl/styles.xml><?xml version="1.0" encoding="utf-8"?>
<styleSheet xmlns="http://schemas.openxmlformats.org/spreadsheetml/2006/main">
  <numFmts count="17">
    <numFmt numFmtId="164" formatCode="General"/>
    <numFmt numFmtId="165" formatCode="#,##0&quot; oz&quot;"/>
    <numFmt numFmtId="166" formatCode="#,##0"/>
    <numFmt numFmtId="167" formatCode="0.00"/>
    <numFmt numFmtId="168" formatCode="0.0"/>
    <numFmt numFmtId="169" formatCode="0"/>
    <numFmt numFmtId="170" formatCode="#,##0&quot; gold ounces&quot;"/>
    <numFmt numFmtId="171" formatCode="\$#,##0,,&quot; T&quot;"/>
    <numFmt numFmtId="172" formatCode="\$#,##0&quot; USD&quot;"/>
    <numFmt numFmtId="173" formatCode="0.00&quot; x&quot;"/>
    <numFmt numFmtId="174" formatCode="0.0%"/>
    <numFmt numFmtId="175" formatCode="0.00&quot; oz&quot;"/>
    <numFmt numFmtId="176" formatCode="0.00%"/>
    <numFmt numFmtId="177" formatCode="@"/>
    <numFmt numFmtId="178" formatCode="0.00&quot; B&quot;"/>
    <numFmt numFmtId="179" formatCode="\$#,##0"/>
    <numFmt numFmtId="180" formatCode="\$0.00&quot; T&quot;"/>
  </numFmts>
  <fonts count="31">
    <font>
      <sz val="11"/>
      <color rgb="FF000000"/>
      <name val="Calibri"/>
      <family val="2"/>
      <charset val="1"/>
    </font>
    <font>
      <sz val="10"/>
      <name val="Arial"/>
      <family val="0"/>
    </font>
    <font>
      <sz val="10"/>
      <name val="Arial"/>
      <family val="0"/>
    </font>
    <font>
      <sz val="10"/>
      <name val="Arial"/>
      <family val="0"/>
    </font>
    <font>
      <b val="true"/>
      <sz val="18"/>
      <color rgb="FFF59E0B"/>
      <name val="Cambria"/>
      <family val="0"/>
      <charset val="1"/>
    </font>
    <font>
      <sz val="10"/>
      <color rgb="FF9CA3AF"/>
      <name val="Cambria"/>
      <family val="0"/>
      <charset val="1"/>
    </font>
    <font>
      <b val="true"/>
      <sz val="12"/>
      <color rgb="FFF59E0B"/>
      <name val="Cambria"/>
      <family val="0"/>
      <charset val="1"/>
    </font>
    <font>
      <b val="true"/>
      <sz val="14"/>
      <color rgb="FFF59E0B"/>
      <name val="Cambria"/>
      <family val="0"/>
      <charset val="1"/>
    </font>
    <font>
      <sz val="11"/>
      <color rgb="FFD1D5DB"/>
      <name val="Cambria"/>
      <family val="0"/>
      <charset val="1"/>
    </font>
    <font>
      <sz val="11"/>
      <color rgb="FFFFFFFF"/>
      <name val="Cambria"/>
      <family val="0"/>
      <charset val="1"/>
    </font>
    <font>
      <b val="true"/>
      <sz val="12"/>
      <color rgb="FF60A5FA"/>
      <name val="Cambria"/>
      <family val="0"/>
      <charset val="1"/>
    </font>
    <font>
      <b val="true"/>
      <sz val="11"/>
      <color rgb="FF60A5FA"/>
      <name val="Cambria"/>
      <family val="0"/>
      <charset val="1"/>
    </font>
    <font>
      <b val="true"/>
      <sz val="11"/>
      <color rgb="FFFFFFFF"/>
      <name val="Cambria"/>
      <family val="0"/>
      <charset val="1"/>
    </font>
    <font>
      <b val="true"/>
      <sz val="11"/>
      <color rgb="FFF59E0B"/>
      <name val="Cambria"/>
      <family val="0"/>
      <charset val="1"/>
    </font>
    <font>
      <b val="true"/>
      <sz val="12"/>
      <color rgb="FF34D399"/>
      <name val="Cambria"/>
      <family val="0"/>
      <charset val="1"/>
    </font>
    <font>
      <b val="true"/>
      <sz val="11"/>
      <color rgb="FF34D399"/>
      <name val="Cambria"/>
      <family val="0"/>
      <charset val="1"/>
    </font>
    <font>
      <b val="true"/>
      <sz val="12"/>
      <color rgb="FFFFFFFF"/>
      <name val="Cambria"/>
      <family val="0"/>
      <charset val="1"/>
    </font>
    <font>
      <sz val="9"/>
      <color rgb="FF9CA3AF"/>
      <name val="Cambria"/>
      <family val="0"/>
      <charset val="1"/>
    </font>
    <font>
      <b val="true"/>
      <sz val="14"/>
      <color rgb="FF34D399"/>
      <name val="Cambria"/>
      <family val="0"/>
      <charset val="1"/>
    </font>
    <font>
      <b val="true"/>
      <sz val="11"/>
      <color rgb="FF9CA3AF"/>
      <name val="Cambria"/>
      <family val="0"/>
      <charset val="1"/>
    </font>
    <font>
      <sz val="9"/>
      <color rgb="FF6B7280"/>
      <name val="Cambria"/>
      <family val="0"/>
      <charset val="1"/>
    </font>
    <font>
      <b val="true"/>
      <sz val="10"/>
      <color rgb="FFFFFFFF"/>
      <name val="Cambria"/>
      <family val="0"/>
      <charset val="1"/>
    </font>
    <font>
      <b val="true"/>
      <sz val="10"/>
      <color rgb="FF60A5FA"/>
      <name val="Cambria"/>
      <family val="0"/>
      <charset val="1"/>
    </font>
    <font>
      <b val="true"/>
      <sz val="10"/>
      <color rgb="FF34D399"/>
      <name val="Cambria"/>
      <family val="0"/>
      <charset val="1"/>
    </font>
    <font>
      <b val="true"/>
      <sz val="10"/>
      <color rgb="FFF59E0B"/>
      <name val="Cambria"/>
      <family val="0"/>
      <charset val="1"/>
    </font>
    <font>
      <b val="true"/>
      <sz val="10"/>
      <color rgb="FFA78BFA"/>
      <name val="Cambria"/>
      <family val="0"/>
      <charset val="1"/>
    </font>
    <font>
      <b val="true"/>
      <sz val="9"/>
      <color rgb="FFFFFFFF"/>
      <name val="Cambria"/>
      <family val="0"/>
      <charset val="1"/>
    </font>
    <font>
      <sz val="10"/>
      <color rgb="FFFFFFFF"/>
      <name val="Cambria"/>
      <family val="0"/>
      <charset val="1"/>
    </font>
    <font>
      <sz val="10"/>
      <color rgb="FFD1D5DB"/>
      <name val="Cambria"/>
      <family val="0"/>
      <charset val="1"/>
    </font>
    <font>
      <sz val="12"/>
      <color rgb="FF9CA3AF"/>
      <name val="Cambria"/>
      <family val="0"/>
      <charset val="1"/>
    </font>
    <font>
      <i val="true"/>
      <sz val="10"/>
      <color rgb="FFA78BFA"/>
      <name val="Cambria"/>
      <family val="0"/>
      <charset val="1"/>
    </font>
  </fonts>
  <fills count="13">
    <fill>
      <patternFill patternType="none"/>
    </fill>
    <fill>
      <patternFill patternType="gray125"/>
    </fill>
    <fill>
      <patternFill patternType="solid">
        <fgColor rgb="FF111827"/>
        <bgColor rgb="FF1F2937"/>
      </patternFill>
    </fill>
    <fill>
      <patternFill patternType="solid">
        <fgColor rgb="FF1F2937"/>
        <bgColor rgb="FF172554"/>
      </patternFill>
    </fill>
    <fill>
      <patternFill patternType="solid">
        <fgColor rgb="FF374151"/>
        <bgColor rgb="FF1E3A5F"/>
      </patternFill>
    </fill>
    <fill>
      <patternFill patternType="solid">
        <fgColor rgb="FF78350F"/>
        <bgColor rgb="FF993366"/>
      </patternFill>
    </fill>
    <fill>
      <patternFill patternType="solid">
        <fgColor rgb="FF1E3A5F"/>
        <bgColor rgb="FF374151"/>
      </patternFill>
    </fill>
    <fill>
      <patternFill patternType="solid">
        <fgColor rgb="FF14532D"/>
        <bgColor rgb="FF1E3A5F"/>
      </patternFill>
    </fill>
    <fill>
      <patternFill patternType="solid">
        <fgColor rgb="FF4C1D95"/>
        <bgColor rgb="FF2E1065"/>
      </patternFill>
    </fill>
    <fill>
      <patternFill patternType="solid">
        <fgColor rgb="FF172554"/>
        <bgColor rgb="FF1F2937"/>
      </patternFill>
    </fill>
    <fill>
      <patternFill patternType="solid">
        <fgColor rgb="FF0F2F1E"/>
        <bgColor rgb="FF1F2937"/>
      </patternFill>
    </fill>
    <fill>
      <patternFill patternType="solid">
        <fgColor rgb="FF451A03"/>
        <bgColor rgb="FF1F2937"/>
      </patternFill>
    </fill>
    <fill>
      <patternFill patternType="solid">
        <fgColor rgb="FF2E1065"/>
        <bgColor rgb="FF172554"/>
      </patternFill>
    </fill>
  </fills>
  <borders count="2">
    <border diagonalUp="false" diagonalDown="false">
      <left/>
      <right/>
      <top/>
      <bottom/>
      <diagonal/>
    </border>
    <border diagonalUp="false" diagonalDown="false">
      <left style="thin">
        <color rgb="FF4B5563"/>
      </left>
      <right style="thin">
        <color rgb="FF4B5563"/>
      </right>
      <top style="thin">
        <color rgb="FF4B5563"/>
      </top>
      <bottom style="thin">
        <color rgb="FF4B55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3"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5" fontId="9" fillId="2" borderId="0" xfId="0" applyFont="true" applyBorder="false" applyAlignment="true" applyProtection="false">
      <alignment horizontal="right"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5" fontId="13" fillId="2" borderId="0" xfId="0" applyFont="true" applyBorder="false" applyAlignment="true" applyProtection="false">
      <alignment horizontal="right"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9" fontId="9" fillId="4" borderId="1" xfId="0" applyFont="true" applyBorder="true" applyAlignment="false" applyProtection="false">
      <alignment horizontal="general"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5" fontId="15" fillId="2" borderId="0" xfId="0" applyFont="true" applyBorder="false" applyAlignment="true" applyProtection="false">
      <alignment horizontal="right" vertical="bottom" textRotation="0" wrapText="false" indent="0" shrinkToFit="false"/>
      <protection locked="true" hidden="false"/>
    </xf>
    <xf numFmtId="164" fontId="16" fillId="5" borderId="0" xfId="0" applyFont="true" applyBorder="false" applyAlignment="false" applyProtection="false">
      <alignment horizontal="general" vertical="bottom" textRotation="0" wrapText="false" indent="0" shrinkToFit="false"/>
      <protection locked="true" hidden="false"/>
    </xf>
    <xf numFmtId="165" fontId="7" fillId="5" borderId="0" xfId="0" applyFont="true" applyBorder="false" applyAlignment="true" applyProtection="false">
      <alignment horizontal="right" vertical="bottom" textRotation="0" wrapText="false" indent="0" shrinkToFit="false"/>
      <protection locked="true" hidden="false"/>
    </xf>
    <xf numFmtId="164" fontId="17" fillId="5" borderId="0" xfId="0" applyFont="true" applyBorder="false" applyAlignment="false" applyProtection="false">
      <alignment horizontal="general" vertical="bottom" textRotation="0" wrapText="false" indent="0" shrinkToFit="false"/>
      <protection locked="true" hidden="false"/>
    </xf>
    <xf numFmtId="170" fontId="17" fillId="5" borderId="0" xfId="0" applyFont="true" applyBorder="false" applyAlignment="true" applyProtection="false">
      <alignment horizontal="right"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71" fontId="18" fillId="5" borderId="0" xfId="0" applyFont="true" applyBorder="false" applyAlignment="true" applyProtection="false">
      <alignment horizontal="right" vertical="bottom" textRotation="0" wrapText="false" indent="0" shrinkToFit="false"/>
      <protection locked="true" hidden="false"/>
    </xf>
    <xf numFmtId="172" fontId="17" fillId="5" borderId="0" xfId="0" applyFont="true" applyBorder="false" applyAlignment="true" applyProtection="false">
      <alignment horizontal="right"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73" fontId="11" fillId="2" borderId="0" xfId="0" applyFont="true" applyBorder="false" applyAlignment="true" applyProtection="false">
      <alignment horizontal="right" vertical="bottom" textRotation="0" wrapText="false" indent="0" shrinkToFit="false"/>
      <protection locked="true" hidden="false"/>
    </xf>
    <xf numFmtId="174" fontId="11" fillId="2" borderId="0" xfId="0" applyFont="true" applyBorder="false" applyAlignment="true" applyProtection="false">
      <alignment horizontal="right" vertical="bottom" textRotation="0" wrapText="false" indent="0" shrinkToFit="false"/>
      <protection locked="true" hidden="false"/>
    </xf>
    <xf numFmtId="175" fontId="11" fillId="2" borderId="0" xfId="0" applyFont="true" applyBorder="false" applyAlignment="true" applyProtection="false">
      <alignment horizontal="right" vertical="bottom" textRotation="0" wrapText="false" indent="0" shrinkToFit="false"/>
      <protection locked="true" hidden="false"/>
    </xf>
    <xf numFmtId="176" fontId="11" fillId="2" borderId="0" xfId="0" applyFont="true" applyBorder="false" applyAlignment="true" applyProtection="false">
      <alignment horizontal="right" vertical="bottom" textRotation="0" wrapText="false" indent="0" shrinkToFit="false"/>
      <protection locked="true" hidden="false"/>
    </xf>
    <xf numFmtId="174" fontId="9" fillId="2" borderId="0" xfId="0" applyFont="true" applyBorder="false" applyAlignment="true" applyProtection="false">
      <alignment horizontal="right" vertical="bottom" textRotation="0" wrapText="fals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21" fillId="3" borderId="0" xfId="0" applyFont="true" applyBorder="true" applyAlignment="true" applyProtection="false">
      <alignment horizontal="center" vertical="bottom" textRotation="0" wrapText="false" indent="0" shrinkToFit="false"/>
      <protection locked="true" hidden="false"/>
    </xf>
    <xf numFmtId="164" fontId="22" fillId="6" borderId="0" xfId="0" applyFont="true" applyBorder="true" applyAlignment="true" applyProtection="false">
      <alignment horizontal="center" vertical="bottom" textRotation="0" wrapText="false" indent="0" shrinkToFit="false"/>
      <protection locked="true" hidden="false"/>
    </xf>
    <xf numFmtId="164" fontId="23" fillId="7" borderId="0" xfId="0" applyFont="true" applyBorder="true" applyAlignment="true" applyProtection="false">
      <alignment horizontal="center" vertical="bottom" textRotation="0" wrapText="false" indent="0" shrinkToFit="false"/>
      <protection locked="true" hidden="false"/>
    </xf>
    <xf numFmtId="164" fontId="24" fillId="3" borderId="0" xfId="0" applyFont="true" applyBorder="false" applyAlignment="true" applyProtection="false">
      <alignment horizontal="center" vertical="bottom" textRotation="0" wrapText="false" indent="0" shrinkToFit="false"/>
      <protection locked="true" hidden="false"/>
    </xf>
    <xf numFmtId="164" fontId="24" fillId="5" borderId="0" xfId="0" applyFont="true" applyBorder="true" applyAlignment="true" applyProtection="false">
      <alignment horizontal="center" vertical="bottom" textRotation="0" wrapText="false" indent="0" shrinkToFit="false"/>
      <protection locked="true" hidden="false"/>
    </xf>
    <xf numFmtId="164" fontId="25" fillId="8" borderId="0" xfId="0" applyFont="true" applyBorder="true" applyAlignment="true" applyProtection="false">
      <alignment horizontal="center" vertical="bottom" textRotation="0" wrapText="false" indent="0" shrinkToFit="false"/>
      <protection locked="true" hidden="false"/>
    </xf>
    <xf numFmtId="164" fontId="26" fillId="3" borderId="1" xfId="0" applyFont="true" applyBorder="true" applyAlignment="true" applyProtection="false">
      <alignment horizontal="center" vertical="bottom" textRotation="0" wrapText="true" indent="0" shrinkToFit="false"/>
      <protection locked="true" hidden="false"/>
    </xf>
    <xf numFmtId="164" fontId="26" fillId="4" borderId="1" xfId="0" applyFont="true" applyBorder="true" applyAlignment="true" applyProtection="false">
      <alignment horizontal="center" vertical="bottom" textRotation="0" wrapText="true" indent="0" shrinkToFit="false"/>
      <protection locked="true" hidden="false"/>
    </xf>
    <xf numFmtId="164" fontId="26" fillId="6" borderId="1" xfId="0" applyFont="true" applyBorder="true" applyAlignment="true" applyProtection="false">
      <alignment horizontal="center" vertical="bottom" textRotation="0" wrapText="true" indent="0" shrinkToFit="false"/>
      <protection locked="true" hidden="false"/>
    </xf>
    <xf numFmtId="164" fontId="26" fillId="7" borderId="1" xfId="0" applyFont="true" applyBorder="true" applyAlignment="true" applyProtection="false">
      <alignment horizontal="center" vertical="bottom" textRotation="0" wrapText="true" indent="0" shrinkToFit="false"/>
      <protection locked="true" hidden="false"/>
    </xf>
    <xf numFmtId="164" fontId="26" fillId="5" borderId="1" xfId="0" applyFont="true" applyBorder="true" applyAlignment="true" applyProtection="false">
      <alignment horizontal="center" vertical="bottom" textRotation="0" wrapText="true" indent="0" shrinkToFit="false"/>
      <protection locked="true" hidden="false"/>
    </xf>
    <xf numFmtId="164" fontId="26" fillId="8" borderId="1" xfId="0" applyFont="true" applyBorder="true" applyAlignment="true" applyProtection="false">
      <alignment horizontal="center" vertical="bottom" textRotation="0" wrapText="true" indent="0" shrinkToFit="false"/>
      <protection locked="true" hidden="false"/>
    </xf>
    <xf numFmtId="169" fontId="20" fillId="3" borderId="0" xfId="0" applyFont="true" applyBorder="false" applyAlignment="true" applyProtection="false">
      <alignment horizontal="right" vertical="bottom" textRotation="0" wrapText="false" indent="0" shrinkToFit="false"/>
      <protection locked="true" hidden="false"/>
    </xf>
    <xf numFmtId="177" fontId="27" fillId="4" borderId="1" xfId="0" applyFont="true" applyBorder="true" applyAlignment="true" applyProtection="false">
      <alignment horizontal="left" vertical="bottom" textRotation="0" wrapText="false" indent="0" shrinkToFit="false"/>
      <protection locked="true" hidden="false"/>
    </xf>
    <xf numFmtId="169" fontId="27" fillId="4" borderId="1" xfId="0" applyFont="true" applyBorder="true" applyAlignment="true" applyProtection="false">
      <alignment horizontal="right" vertical="bottom" textRotation="0" wrapText="false" indent="0" shrinkToFit="false"/>
      <protection locked="true" hidden="false"/>
    </xf>
    <xf numFmtId="166" fontId="27" fillId="6" borderId="1" xfId="0" applyFont="true" applyBorder="true" applyAlignment="true" applyProtection="false">
      <alignment horizontal="right" vertical="bottom" textRotation="0" wrapText="false" indent="0" shrinkToFit="false"/>
      <protection locked="true" hidden="false"/>
    </xf>
    <xf numFmtId="167" fontId="27" fillId="6" borderId="1" xfId="0" applyFont="true" applyBorder="true" applyAlignment="true" applyProtection="false">
      <alignment horizontal="right" vertical="bottom" textRotation="0" wrapText="false" indent="0" shrinkToFit="false"/>
      <protection locked="true" hidden="false"/>
    </xf>
    <xf numFmtId="168" fontId="27" fillId="6" borderId="1" xfId="0" applyFont="true" applyBorder="true" applyAlignment="true" applyProtection="false">
      <alignment horizontal="right" vertical="bottom" textRotation="0" wrapText="false" indent="0" shrinkToFit="false"/>
      <protection locked="true" hidden="false"/>
    </xf>
    <xf numFmtId="169" fontId="27" fillId="6" borderId="1" xfId="0" applyFont="true" applyBorder="true" applyAlignment="true" applyProtection="false">
      <alignment horizontal="right" vertical="bottom" textRotation="0" wrapText="false" indent="0" shrinkToFit="false"/>
      <protection locked="true" hidden="false"/>
    </xf>
    <xf numFmtId="166" fontId="27" fillId="7" borderId="1" xfId="0" applyFont="true" applyBorder="true" applyAlignment="true" applyProtection="false">
      <alignment horizontal="right" vertical="bottom" textRotation="0" wrapText="false" indent="0" shrinkToFit="false"/>
      <protection locked="true" hidden="false"/>
    </xf>
    <xf numFmtId="166" fontId="27" fillId="4" borderId="1" xfId="0" applyFont="true" applyBorder="true" applyAlignment="true" applyProtection="false">
      <alignment horizontal="right" vertical="bottom" textRotation="0" wrapText="false" indent="0" shrinkToFit="false"/>
      <protection locked="true" hidden="false"/>
    </xf>
    <xf numFmtId="166" fontId="27" fillId="9" borderId="0" xfId="0" applyFont="true" applyBorder="false" applyAlignment="true" applyProtection="false">
      <alignment horizontal="right" vertical="bottom" textRotation="0" wrapText="false" indent="0" shrinkToFit="false"/>
      <protection locked="true" hidden="false"/>
    </xf>
    <xf numFmtId="166" fontId="27" fillId="10" borderId="0" xfId="0" applyFont="true" applyBorder="false" applyAlignment="true" applyProtection="false">
      <alignment horizontal="right" vertical="bottom" textRotation="0" wrapText="false" indent="0" shrinkToFit="false"/>
      <protection locked="true" hidden="false"/>
    </xf>
    <xf numFmtId="166" fontId="24" fillId="11" borderId="0" xfId="0" applyFont="true" applyBorder="false" applyAlignment="true" applyProtection="false">
      <alignment horizontal="right" vertical="bottom" textRotation="0" wrapText="false" indent="0" shrinkToFit="false"/>
      <protection locked="true" hidden="false"/>
    </xf>
    <xf numFmtId="178" fontId="24" fillId="11" borderId="0" xfId="0" applyFont="true" applyBorder="false" applyAlignment="true" applyProtection="false">
      <alignment horizontal="right" vertical="bottom" textRotation="0" wrapText="false" indent="0" shrinkToFit="false"/>
      <protection locked="true" hidden="false"/>
    </xf>
    <xf numFmtId="179" fontId="24" fillId="11" borderId="0" xfId="0" applyFont="true" applyBorder="false" applyAlignment="true" applyProtection="false">
      <alignment horizontal="right" vertical="bottom" textRotation="0" wrapText="false" indent="0" shrinkToFit="false"/>
      <protection locked="true" hidden="false"/>
    </xf>
    <xf numFmtId="180" fontId="24" fillId="11" borderId="0" xfId="0" applyFont="true" applyBorder="false" applyAlignment="true" applyProtection="false">
      <alignment horizontal="right" vertical="bottom" textRotation="0" wrapText="false" indent="0" shrinkToFit="false"/>
      <protection locked="true" hidden="false"/>
    </xf>
    <xf numFmtId="173" fontId="27" fillId="12" borderId="0" xfId="0" applyFont="true" applyBorder="false" applyAlignment="true" applyProtection="false">
      <alignment horizontal="right" vertical="bottom" textRotation="0" wrapText="false" indent="0" shrinkToFit="false"/>
      <protection locked="true" hidden="false"/>
    </xf>
    <xf numFmtId="167" fontId="27" fillId="12" borderId="0" xfId="0" applyFont="true" applyBorder="false" applyAlignment="true" applyProtection="false">
      <alignment horizontal="right" vertical="bottom" textRotation="0" wrapText="false" indent="0" shrinkToFit="false"/>
      <protection locked="true" hidden="false"/>
    </xf>
    <xf numFmtId="176" fontId="27" fillId="12" borderId="0" xfId="0" applyFont="true" applyBorder="false" applyAlignment="true" applyProtection="false">
      <alignment horizontal="right" vertical="bottom" textRotation="0" wrapText="false" indent="0" shrinkToFit="false"/>
      <protection locked="true" hidden="false"/>
    </xf>
    <xf numFmtId="174" fontId="27" fillId="12" borderId="0" xfId="0" applyFont="true" applyBorder="false" applyAlignment="true" applyProtection="false">
      <alignment horizontal="right" vertical="bottom" textRotation="0" wrapText="false" indent="0" shrinkToFit="false"/>
      <protection locked="true" hidden="false"/>
    </xf>
    <xf numFmtId="164" fontId="20"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6" fontId="27" fillId="3" borderId="0" xfId="0" applyFont="true" applyBorder="false" applyAlignment="true" applyProtection="false">
      <alignment horizontal="right" vertical="bottom" textRotation="0" wrapText="false" indent="0" shrinkToFit="false"/>
      <protection locked="true" hidden="false"/>
    </xf>
    <xf numFmtId="164" fontId="28" fillId="3" borderId="0" xfId="0" applyFont="true" applyBorder="false" applyAlignment="false" applyProtection="false">
      <alignment horizontal="general" vertical="bottom" textRotation="0" wrapText="false" indent="0" shrinkToFit="false"/>
      <protection locked="true" hidden="false"/>
    </xf>
    <xf numFmtId="177" fontId="27" fillId="4" borderId="1" xfId="0" applyFont="true" applyBorder="true" applyAlignment="true" applyProtection="false">
      <alignment horizontal="right" vertical="bottom" textRotation="0" wrapText="false" indent="0" shrinkToFit="false"/>
      <protection locked="true" hidden="false"/>
    </xf>
    <xf numFmtId="164" fontId="21" fillId="6" borderId="0" xfId="0" applyFont="true" applyBorder="false" applyAlignment="false" applyProtection="false">
      <alignment horizontal="general" vertical="bottom" textRotation="0" wrapText="false" indent="0" shrinkToFit="false"/>
      <protection locked="true" hidden="false"/>
    </xf>
    <xf numFmtId="166" fontId="27" fillId="6" borderId="0" xfId="0" applyFont="true" applyBorder="false" applyAlignment="true" applyProtection="false">
      <alignment horizontal="right" vertical="bottom" textRotation="0" wrapText="false" indent="0" shrinkToFit="false"/>
      <protection locked="true" hidden="false"/>
    </xf>
    <xf numFmtId="167" fontId="27" fillId="4" borderId="1" xfId="0" applyFont="true" applyBorder="true" applyAlignment="true" applyProtection="false">
      <alignment horizontal="right" vertical="bottom" textRotation="0" wrapText="false" indent="0" shrinkToFit="false"/>
      <protection locked="true" hidden="false"/>
    </xf>
    <xf numFmtId="168" fontId="27" fillId="4" borderId="1" xfId="0" applyFont="true" applyBorder="true" applyAlignment="true" applyProtection="false">
      <alignment horizontal="right" vertical="bottom" textRotation="0" wrapText="false" indent="0" shrinkToFit="false"/>
      <protection locked="true" hidden="false"/>
    </xf>
    <xf numFmtId="164" fontId="21" fillId="7" borderId="0" xfId="0" applyFont="true" applyBorder="false" applyAlignment="false" applyProtection="false">
      <alignment horizontal="general" vertical="bottom" textRotation="0" wrapText="false" indent="0" shrinkToFit="false"/>
      <protection locked="true" hidden="false"/>
    </xf>
    <xf numFmtId="166" fontId="27" fillId="7" borderId="0" xfId="0" applyFont="true" applyBorder="false" applyAlignment="true" applyProtection="false">
      <alignment horizontal="right" vertical="bottom" textRotation="0" wrapText="false" indent="0" shrinkToFit="false"/>
      <protection locked="true" hidden="false"/>
    </xf>
    <xf numFmtId="164" fontId="21" fillId="3" borderId="0" xfId="0" applyFont="true" applyBorder="false" applyAlignment="false" applyProtection="false">
      <alignment horizontal="general" vertical="bottom" textRotation="0" wrapText="fals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4" fontId="28" fillId="6" borderId="0" xfId="0" applyFont="true" applyBorder="false" applyAlignment="false" applyProtection="false">
      <alignment horizontal="general" vertical="bottom" textRotation="0" wrapText="false" indent="0" shrinkToFit="false"/>
      <protection locked="true" hidden="false"/>
    </xf>
    <xf numFmtId="166" fontId="13" fillId="6" borderId="0" xfId="0" applyFont="true" applyBorder="false" applyAlignment="true" applyProtection="false">
      <alignment horizontal="right" vertical="bottom" textRotation="0" wrapText="false" indent="0" shrinkToFit="false"/>
      <protection locked="true" hidden="false"/>
    </xf>
    <xf numFmtId="164" fontId="13" fillId="7" borderId="0" xfId="0" applyFont="true" applyBorder="false" applyAlignment="false" applyProtection="false">
      <alignment horizontal="general" vertical="bottom" textRotation="0" wrapText="false" indent="0" shrinkToFit="false"/>
      <protection locked="true" hidden="false"/>
    </xf>
    <xf numFmtId="164" fontId="28" fillId="7" borderId="0" xfId="0" applyFont="true" applyBorder="false" applyAlignment="false" applyProtection="false">
      <alignment horizontal="general" vertical="bottom" textRotation="0" wrapText="false" indent="0" shrinkToFit="false"/>
      <protection locked="true" hidden="false"/>
    </xf>
    <xf numFmtId="166" fontId="13" fillId="7" borderId="0" xfId="0" applyFont="true" applyBorder="false" applyAlignment="true" applyProtection="false">
      <alignment horizontal="right"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6" fontId="27" fillId="5" borderId="0" xfId="0" applyFont="true" applyBorder="false" applyAlignment="true" applyProtection="false">
      <alignment horizontal="right" vertical="bottom" textRotation="0" wrapText="false" indent="0" shrinkToFit="false"/>
      <protection locked="true" hidden="false"/>
    </xf>
    <xf numFmtId="166" fontId="13" fillId="5" borderId="0" xfId="0" applyFont="true" applyBorder="false" applyAlignment="true" applyProtection="false">
      <alignment horizontal="right" vertical="bottom" textRotation="0" wrapText="false" indent="0" shrinkToFit="false"/>
      <protection locked="true" hidden="false"/>
    </xf>
    <xf numFmtId="178" fontId="13" fillId="5" borderId="0" xfId="0" applyFont="true" applyBorder="false" applyAlignment="true" applyProtection="false">
      <alignment horizontal="right" vertical="bottom" textRotation="0" wrapText="false" indent="0" shrinkToFit="false"/>
      <protection locked="true" hidden="false"/>
    </xf>
    <xf numFmtId="179" fontId="13" fillId="5" borderId="0" xfId="0" applyFont="true" applyBorder="false" applyAlignment="true" applyProtection="false">
      <alignment horizontal="right" vertical="bottom" textRotation="0" wrapText="false" indent="0" shrinkToFit="false"/>
      <protection locked="true" hidden="false"/>
    </xf>
    <xf numFmtId="180" fontId="13" fillId="5" borderId="0" xfId="0" applyFont="true" applyBorder="false" applyAlignment="true" applyProtection="false">
      <alignment horizontal="right" vertical="bottom" textRotation="0" wrapText="false" indent="0" shrinkToFit="false"/>
      <protection locked="true" hidden="false"/>
    </xf>
    <xf numFmtId="164" fontId="13" fillId="8" borderId="0" xfId="0" applyFont="true" applyBorder="false" applyAlignment="false" applyProtection="false">
      <alignment horizontal="general" vertical="bottom" textRotation="0" wrapText="false" indent="0" shrinkToFit="false"/>
      <protection locked="true" hidden="false"/>
    </xf>
    <xf numFmtId="166" fontId="27" fillId="8" borderId="0" xfId="0" applyFont="true" applyBorder="false" applyAlignment="true" applyProtection="false">
      <alignment horizontal="right" vertical="bottom" textRotation="0" wrapText="false" indent="0" shrinkToFit="false"/>
      <protection locked="true" hidden="false"/>
    </xf>
    <xf numFmtId="164" fontId="28" fillId="8" borderId="0" xfId="0" applyFont="true" applyBorder="false" applyAlignment="false" applyProtection="false">
      <alignment horizontal="general" vertical="bottom" textRotation="0" wrapText="false" indent="0" shrinkToFit="false"/>
      <protection locked="true" hidden="false"/>
    </xf>
    <xf numFmtId="173" fontId="27" fillId="8" borderId="0" xfId="0" applyFont="true" applyBorder="false" applyAlignment="true" applyProtection="false">
      <alignment horizontal="right" vertical="bottom" textRotation="0" wrapText="false" indent="0" shrinkToFit="false"/>
      <protection locked="true" hidden="false"/>
    </xf>
    <xf numFmtId="174" fontId="27" fillId="8" borderId="0" xfId="0" applyFont="true" applyBorder="false" applyAlignment="true" applyProtection="false">
      <alignment horizontal="right" vertical="bottom" textRotation="0" wrapText="false" indent="0" shrinkToFit="false"/>
      <protection locked="true" hidden="false"/>
    </xf>
    <xf numFmtId="167" fontId="27" fillId="8" borderId="0" xfId="0" applyFont="true" applyBorder="false" applyAlignment="true" applyProtection="false">
      <alignment horizontal="right" vertical="bottom" textRotation="0" wrapText="false" indent="0" shrinkToFit="false"/>
      <protection locked="true" hidden="false"/>
    </xf>
    <xf numFmtId="176" fontId="27" fillId="8" borderId="0" xfId="0" applyFont="true" applyBorder="false" applyAlignment="true" applyProtection="false">
      <alignment horizontal="right" vertical="bottom" textRotation="0" wrapText="false" indent="0" shrinkToFit="false"/>
      <protection locked="true" hidden="false"/>
    </xf>
    <xf numFmtId="174" fontId="27" fillId="2" borderId="0" xfId="0" applyFont="true" applyBorder="false" applyAlignment="true" applyProtection="false">
      <alignment horizontal="right" vertical="bottom" textRotation="0" wrapText="false" indent="0" shrinkToFit="false"/>
      <protection locked="true" hidden="false"/>
    </xf>
    <xf numFmtId="164" fontId="4" fillId="2" borderId="0" xfId="0" applyFont="true" applyBorder="true" applyAlignment="true" applyProtection="false">
      <alignment horizontal="general" vertical="top" textRotation="0" wrapText="true" indent="0" shrinkToFit="false"/>
      <protection locked="true" hidden="false"/>
    </xf>
    <xf numFmtId="164" fontId="29" fillId="2"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general" vertical="top" textRotation="0" wrapText="true" indent="0" shrinkToFit="false"/>
      <protection locked="true" hidden="false"/>
    </xf>
    <xf numFmtId="164" fontId="28" fillId="2" borderId="0" xfId="0" applyFont="true" applyBorder="true" applyAlignment="true" applyProtection="false">
      <alignment horizontal="general" vertical="top" textRotation="0" wrapText="true" indent="0" shrinkToFit="false"/>
      <protection locked="true" hidden="false"/>
    </xf>
    <xf numFmtId="164" fontId="10" fillId="2" borderId="0" xfId="0" applyFont="true" applyBorder="true" applyAlignment="true" applyProtection="false">
      <alignment horizontal="general" vertical="top" textRotation="0" wrapText="true" indent="0" shrinkToFit="false"/>
      <protection locked="true" hidden="false"/>
    </xf>
    <xf numFmtId="164" fontId="30" fillId="2" borderId="0" xfId="0" applyFont="true" applyBorder="true" applyAlignment="true" applyProtection="false">
      <alignment horizontal="general" vertical="top" textRotation="0" wrapText="true" indent="0" shrinkToFit="false"/>
      <protection locked="true" hidden="false"/>
    </xf>
    <xf numFmtId="164" fontId="15" fillId="2" borderId="0" xfId="0" applyFont="true" applyBorder="true" applyAlignment="true" applyProtection="false">
      <alignment horizontal="general" vertical="top" textRotation="0" wrapText="true" indent="0" shrinkToFit="false"/>
      <protection locked="true" hidden="false"/>
    </xf>
    <xf numFmtId="164" fontId="24" fillId="2" borderId="0" xfId="0" applyFont="true" applyBorder="false" applyAlignment="false" applyProtection="false">
      <alignment horizontal="general" vertical="bottom" textRotation="0" wrapText="false" indent="0" shrinkToFit="false"/>
      <protection locked="true" hidden="false"/>
    </xf>
    <xf numFmtId="164" fontId="30" fillId="2" borderId="0" xfId="0" applyFont="true" applyBorder="false" applyAlignment="false" applyProtection="false">
      <alignment horizontal="general" vertical="bottom" textRotation="0" wrapText="false" indent="0" shrinkToFit="false"/>
      <protection locked="true" hidden="false"/>
    </xf>
    <xf numFmtId="164" fontId="28" fillId="2"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4532D"/>
      <rgbColor rgb="FF2E1065"/>
      <rgbColor rgb="FF808000"/>
      <rgbColor rgb="FF800080"/>
      <rgbColor rgb="FF008080"/>
      <rgbColor rgb="FFC0C0C0"/>
      <rgbColor rgb="FF4B5563"/>
      <rgbColor rgb="FFA78BFA"/>
      <rgbColor rgb="FF374151"/>
      <rgbColor rgb="FFFFFFCC"/>
      <rgbColor rgb="FFCCFFFF"/>
      <rgbColor rgb="FF111827"/>
      <rgbColor rgb="FFFF8080"/>
      <rgbColor rgb="FF0066CC"/>
      <rgbColor rgb="FFD1D5DB"/>
      <rgbColor rgb="FF172554"/>
      <rgbColor rgb="FFFF00FF"/>
      <rgbColor rgb="FFFFFF00"/>
      <rgbColor rgb="FF00FFFF"/>
      <rgbColor rgb="FF800080"/>
      <rgbColor rgb="FF800000"/>
      <rgbColor rgb="FF008080"/>
      <rgbColor rgb="FF0000FF"/>
      <rgbColor rgb="FF00CCFF"/>
      <rgbColor rgb="FFCCFFFF"/>
      <rgbColor rgb="FFCCFFCC"/>
      <rgbColor rgb="FFFFFF99"/>
      <rgbColor rgb="FF60A5FA"/>
      <rgbColor rgb="FFFF99CC"/>
      <rgbColor rgb="FFCC99FF"/>
      <rgbColor rgb="FFFFCC99"/>
      <rgbColor rgb="FF3366FF"/>
      <rgbColor rgb="FF34D399"/>
      <rgbColor rgb="FF99CC00"/>
      <rgbColor rgb="FFFFCC00"/>
      <rgbColor rgb="FFF59E0B"/>
      <rgbColor rgb="FFFF6600"/>
      <rgbColor rgb="FF6B7280"/>
      <rgbColor rgb="FF9CA3AF"/>
      <rgbColor rgb="FF1E3A5F"/>
      <rgbColor rgb="FF339966"/>
      <rgbColor rgb="FF0F2F1E"/>
      <rgbColor rgb="FF451A03"/>
      <rgbColor rgb="FF78350F"/>
      <rgbColor rgb="FF993366"/>
      <rgbColor rgb="FF4C1D95"/>
      <rgbColor rgb="FF1F2937"/>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5"/>
    <col collapsed="false" customWidth="true" hidden="false" outlineLevel="0" max="3" min="3" style="0" width="20"/>
    <col collapsed="false" customWidth="true" hidden="false" outlineLevel="0" max="4" min="4" style="0" width="5"/>
    <col collapsed="false" customWidth="true" hidden="false" outlineLevel="0" max="5" min="5" style="0" width="35"/>
    <col collapsed="false" customWidth="true" hidden="false" outlineLevel="0" max="6" min="6" style="0" width="25"/>
    <col collapsed="false" customWidth="true" hidden="false" outlineLevel="0" max="7" min="7" style="0" width="3"/>
  </cols>
  <sheetData>
    <row r="1" customFormat="false" ht="15" hidden="false" customHeight="false" outlineLevel="0" collapsed="false">
      <c r="A1" s="1"/>
      <c r="B1" s="1"/>
      <c r="C1" s="1"/>
      <c r="D1" s="1"/>
      <c r="E1" s="1"/>
      <c r="F1" s="1"/>
      <c r="G1" s="1"/>
    </row>
    <row r="2" customFormat="false" ht="15" hidden="false" customHeight="false" outlineLevel="0" collapsed="false">
      <c r="A2" s="1"/>
      <c r="B2" s="2" t="s">
        <v>0</v>
      </c>
      <c r="C2" s="2"/>
      <c r="D2" s="2"/>
      <c r="E2" s="2"/>
      <c r="F2" s="2"/>
      <c r="G2" s="1"/>
    </row>
    <row r="3" customFormat="false" ht="15" hidden="false" customHeight="false" outlineLevel="0" collapsed="false">
      <c r="A3" s="1"/>
      <c r="B3" s="3" t="s">
        <v>1</v>
      </c>
      <c r="C3" s="3"/>
      <c r="D3" s="3"/>
      <c r="E3" s="3"/>
      <c r="F3" s="3"/>
      <c r="G3" s="1"/>
    </row>
    <row r="4" customFormat="false" ht="15" hidden="false" customHeight="false" outlineLevel="0" collapsed="false">
      <c r="A4" s="1"/>
      <c r="B4" s="1"/>
      <c r="C4" s="1"/>
      <c r="D4" s="1"/>
      <c r="E4" s="1"/>
      <c r="F4" s="1"/>
      <c r="G4" s="1"/>
    </row>
    <row r="5" customFormat="false" ht="15" hidden="false" customHeight="false" outlineLevel="0" collapsed="false">
      <c r="A5" s="1"/>
      <c r="B5" s="4" t="s">
        <v>2</v>
      </c>
      <c r="C5" s="4"/>
      <c r="D5" s="1"/>
      <c r="E5" s="5" t="str">
        <f aca="false">C7&amp;" ("&amp;C8&amp;")"</f>
        <v>Akbar the Great (Mughal Empire) (1600)</v>
      </c>
      <c r="F5" s="5"/>
      <c r="G5" s="1"/>
    </row>
    <row r="6" customFormat="false" ht="15" hidden="false" customHeight="false" outlineLevel="0" collapsed="false">
      <c r="A6" s="1"/>
      <c r="B6" s="1"/>
      <c r="C6" s="1"/>
      <c r="D6" s="1"/>
      <c r="E6" s="1"/>
      <c r="F6" s="1"/>
      <c r="G6" s="1"/>
    </row>
    <row r="7" customFormat="false" ht="15" hidden="false" customHeight="false" outlineLevel="0" collapsed="false">
      <c r="A7" s="1"/>
      <c r="B7" s="6" t="s">
        <v>3</v>
      </c>
      <c r="C7" s="7" t="s">
        <v>4</v>
      </c>
      <c r="D7" s="1"/>
      <c r="E7" s="8" t="s">
        <v>5</v>
      </c>
      <c r="F7" s="8"/>
      <c r="G7" s="1"/>
    </row>
    <row r="8" customFormat="false" ht="15" hidden="false" customHeight="false" outlineLevel="0" collapsed="false">
      <c r="A8" s="1"/>
      <c r="B8" s="6" t="s">
        <v>6</v>
      </c>
      <c r="C8" s="7" t="n">
        <v>1600</v>
      </c>
      <c r="D8" s="1"/>
      <c r="E8" s="6" t="s">
        <v>7</v>
      </c>
      <c r="F8" s="9" t="n">
        <f aca="false">C11*C12*C13</f>
        <v>371250000</v>
      </c>
      <c r="G8" s="1"/>
    </row>
    <row r="9" customFormat="false" ht="15" hidden="false" customHeight="false" outlineLevel="0" collapsed="false">
      <c r="A9" s="1"/>
      <c r="B9" s="1"/>
      <c r="C9" s="1"/>
      <c r="D9" s="1"/>
      <c r="E9" s="6" t="s">
        <v>8</v>
      </c>
      <c r="F9" s="9" t="n">
        <f aca="false">F8*C14</f>
        <v>37125000</v>
      </c>
      <c r="G9" s="1"/>
    </row>
    <row r="10" customFormat="false" ht="15" hidden="false" customHeight="false" outlineLevel="0" collapsed="false">
      <c r="A10" s="1"/>
      <c r="B10" s="10" t="s">
        <v>9</v>
      </c>
      <c r="C10" s="1"/>
      <c r="D10" s="1"/>
      <c r="E10" s="11" t="s">
        <v>10</v>
      </c>
      <c r="F10" s="12" t="n">
        <f aca="false">F9*C15</f>
        <v>742500000</v>
      </c>
      <c r="G10" s="1"/>
    </row>
    <row r="11" customFormat="false" ht="15" hidden="false" customHeight="false" outlineLevel="0" collapsed="false">
      <c r="A11" s="1"/>
      <c r="B11" s="6" t="s">
        <v>11</v>
      </c>
      <c r="C11" s="13" t="n">
        <v>110000000</v>
      </c>
      <c r="D11" s="1"/>
      <c r="E11" s="1"/>
      <c r="F11" s="1"/>
      <c r="G11" s="1"/>
    </row>
    <row r="12" customFormat="false" ht="15" hidden="false" customHeight="false" outlineLevel="0" collapsed="false">
      <c r="A12" s="1"/>
      <c r="B12" s="6" t="s">
        <v>12</v>
      </c>
      <c r="C12" s="14" t="n">
        <v>0.75</v>
      </c>
      <c r="D12" s="1"/>
      <c r="E12" s="15" t="s">
        <v>13</v>
      </c>
      <c r="F12" s="15"/>
      <c r="G12" s="1"/>
    </row>
    <row r="13" customFormat="false" ht="15" hidden="false" customHeight="false" outlineLevel="0" collapsed="false">
      <c r="A13" s="1"/>
      <c r="B13" s="6" t="s">
        <v>14</v>
      </c>
      <c r="C13" s="16" t="n">
        <v>4.5</v>
      </c>
      <c r="D13" s="1"/>
      <c r="E13" s="6" t="s">
        <v>15</v>
      </c>
      <c r="F13" s="9" t="n">
        <f aca="false">(C11*C12)*0.05</f>
        <v>4125000</v>
      </c>
      <c r="G13" s="1"/>
    </row>
    <row r="14" customFormat="false" ht="15" hidden="false" customHeight="false" outlineLevel="0" collapsed="false">
      <c r="A14" s="1"/>
      <c r="B14" s="6" t="s">
        <v>16</v>
      </c>
      <c r="C14" s="14" t="n">
        <v>0.1</v>
      </c>
      <c r="D14" s="1"/>
      <c r="E14" s="6" t="s">
        <v>17</v>
      </c>
      <c r="F14" s="9" t="n">
        <f aca="false">C18</f>
        <v>50000000</v>
      </c>
      <c r="G14" s="1"/>
    </row>
    <row r="15" customFormat="false" ht="15" hidden="false" customHeight="false" outlineLevel="0" collapsed="false">
      <c r="A15" s="1"/>
      <c r="B15" s="6" t="s">
        <v>18</v>
      </c>
      <c r="C15" s="17" t="n">
        <v>20</v>
      </c>
      <c r="D15" s="1"/>
      <c r="E15" s="6" t="s">
        <v>19</v>
      </c>
      <c r="F15" s="9" t="n">
        <f aca="false">C19</f>
        <v>10000000</v>
      </c>
      <c r="G15" s="1"/>
    </row>
    <row r="16" customFormat="false" ht="15" hidden="false" customHeight="false" outlineLevel="0" collapsed="false">
      <c r="A16" s="1"/>
      <c r="B16" s="1"/>
      <c r="C16" s="1"/>
      <c r="D16" s="1"/>
      <c r="E16" s="6" t="s">
        <v>20</v>
      </c>
      <c r="F16" s="9" t="n">
        <f aca="false">C20</f>
        <v>5000000</v>
      </c>
      <c r="G16" s="1"/>
    </row>
    <row r="17" customFormat="false" ht="15" hidden="false" customHeight="false" outlineLevel="0" collapsed="false">
      <c r="A17" s="1"/>
      <c r="B17" s="18" t="s">
        <v>21</v>
      </c>
      <c r="C17" s="1"/>
      <c r="D17" s="1"/>
      <c r="E17" s="11" t="s">
        <v>22</v>
      </c>
      <c r="F17" s="19" t="n">
        <f aca="false">F13+C18+C19+C20</f>
        <v>69125000</v>
      </c>
      <c r="G17" s="1"/>
    </row>
    <row r="18" customFormat="false" ht="15" hidden="false" customHeight="false" outlineLevel="0" collapsed="false">
      <c r="A18" s="1"/>
      <c r="B18" s="6" t="s">
        <v>23</v>
      </c>
      <c r="C18" s="13" t="n">
        <v>50000000</v>
      </c>
      <c r="D18" s="1"/>
      <c r="E18" s="1"/>
      <c r="F18" s="1"/>
      <c r="G18" s="1"/>
    </row>
    <row r="19" customFormat="false" ht="15" hidden="false" customHeight="false" outlineLevel="0" collapsed="false">
      <c r="A19" s="1"/>
      <c r="B19" s="6" t="s">
        <v>24</v>
      </c>
      <c r="C19" s="13" t="n">
        <v>10000000</v>
      </c>
      <c r="D19" s="1"/>
      <c r="E19" s="20" t="s">
        <v>25</v>
      </c>
      <c r="F19" s="21" t="n">
        <f aca="false">F10+F17</f>
        <v>811625000</v>
      </c>
      <c r="G19" s="1"/>
    </row>
    <row r="20" customFormat="false" ht="15" hidden="false" customHeight="false" outlineLevel="0" collapsed="false">
      <c r="A20" s="1"/>
      <c r="B20" s="6" t="s">
        <v>26</v>
      </c>
      <c r="C20" s="13" t="n">
        <v>5000000</v>
      </c>
      <c r="D20" s="1"/>
      <c r="E20" s="22" t="s">
        <v>27</v>
      </c>
      <c r="F20" s="23" t="n">
        <f aca="false">F19</f>
        <v>811625000</v>
      </c>
      <c r="G20" s="1"/>
    </row>
    <row r="21" customFormat="false" ht="15" hidden="false" customHeight="false" outlineLevel="0" collapsed="false">
      <c r="A21" s="1"/>
      <c r="B21" s="1"/>
      <c r="C21" s="1"/>
      <c r="D21" s="1"/>
      <c r="E21" s="1"/>
      <c r="F21" s="1"/>
      <c r="G21" s="1"/>
    </row>
    <row r="22" customFormat="false" ht="15" hidden="false" customHeight="false" outlineLevel="0" collapsed="false">
      <c r="A22" s="1"/>
      <c r="B22" s="24" t="s">
        <v>28</v>
      </c>
      <c r="C22" s="1"/>
      <c r="D22" s="1"/>
      <c r="E22" s="20" t="s">
        <v>29</v>
      </c>
      <c r="F22" s="25" t="n">
        <f aca="false">F19*C23</f>
        <v>2353712500000</v>
      </c>
      <c r="G22" s="1"/>
    </row>
    <row r="23" customFormat="false" ht="15" hidden="false" customHeight="false" outlineLevel="0" collapsed="false">
      <c r="A23" s="1"/>
      <c r="B23" s="6" t="s">
        <v>30</v>
      </c>
      <c r="C23" s="13" t="n">
        <v>2900</v>
      </c>
      <c r="D23" s="1"/>
      <c r="E23" s="22" t="str">
        <f aca="false">CONCATENATE("@ $",TEXT(C23,"#,##0"),"/oz")</f>
        <v>@ $2,900/oz</v>
      </c>
      <c r="F23" s="26" t="n">
        <f aca="false">F22</f>
        <v>2353712500000</v>
      </c>
      <c r="G23" s="1"/>
    </row>
    <row r="24" customFormat="false" ht="15" hidden="false" customHeight="false" outlineLevel="0" collapsed="false">
      <c r="A24" s="1"/>
      <c r="B24" s="1"/>
      <c r="C24" s="1"/>
      <c r="D24" s="1"/>
      <c r="E24" s="1"/>
      <c r="F24" s="1"/>
      <c r="G24" s="1"/>
    </row>
    <row r="25" customFormat="false" ht="15" hidden="false" customHeight="false" outlineLevel="0" collapsed="false">
      <c r="A25" s="1"/>
      <c r="B25" s="1"/>
      <c r="C25" s="1"/>
      <c r="D25" s="1"/>
      <c r="E25" s="27" t="s">
        <v>31</v>
      </c>
      <c r="F25" s="27"/>
      <c r="G25" s="1"/>
    </row>
    <row r="26" customFormat="false" ht="15" hidden="false" customHeight="false" outlineLevel="0" collapsed="false">
      <c r="A26" s="1"/>
      <c r="B26" s="1"/>
      <c r="C26" s="1"/>
      <c r="D26" s="1"/>
      <c r="E26" s="6" t="s">
        <v>32</v>
      </c>
      <c r="F26" s="28" t="n">
        <f aca="false">IF(F17&gt;0,F10/F17,0)</f>
        <v>10.7414104882459</v>
      </c>
      <c r="G26" s="1"/>
    </row>
    <row r="27" customFormat="false" ht="15" hidden="false" customHeight="false" outlineLevel="0" collapsed="false">
      <c r="A27" s="1"/>
      <c r="B27" s="1"/>
      <c r="C27" s="1"/>
      <c r="D27" s="1"/>
      <c r="E27" s="6" t="s">
        <v>33</v>
      </c>
      <c r="F27" s="29" t="n">
        <f aca="false">C14</f>
        <v>0.1</v>
      </c>
      <c r="G27" s="1"/>
    </row>
    <row r="28" customFormat="false" ht="15" hidden="false" customHeight="false" outlineLevel="0" collapsed="false">
      <c r="A28" s="1"/>
      <c r="B28" s="1"/>
      <c r="C28" s="1"/>
      <c r="D28" s="1"/>
      <c r="E28" s="6" t="s">
        <v>34</v>
      </c>
      <c r="F28" s="30" t="n">
        <f aca="false">IF(C11&gt;0,F19/C11,0)</f>
        <v>7.37840909090909</v>
      </c>
      <c r="G28" s="1"/>
    </row>
    <row r="29" customFormat="false" ht="15" hidden="false" customHeight="false" outlineLevel="0" collapsed="false">
      <c r="A29" s="1"/>
      <c r="B29" s="1"/>
      <c r="C29" s="1"/>
      <c r="D29" s="1"/>
      <c r="E29" s="6" t="s">
        <v>35</v>
      </c>
      <c r="F29" s="31" t="n">
        <f aca="false">IF(F19&gt;0,F9/F19,0)</f>
        <v>0.0457415678422917</v>
      </c>
      <c r="G29" s="1"/>
    </row>
    <row r="30" customFormat="false" ht="15" hidden="false" customHeight="false" outlineLevel="0" collapsed="false">
      <c r="A30" s="1"/>
      <c r="B30" s="1"/>
      <c r="C30" s="1"/>
      <c r="D30" s="1"/>
      <c r="E30" s="1"/>
      <c r="F30" s="1"/>
      <c r="G30" s="1"/>
    </row>
    <row r="31" customFormat="false" ht="15" hidden="false" customHeight="false" outlineLevel="0" collapsed="false">
      <c r="A31" s="1"/>
      <c r="B31" s="1"/>
      <c r="C31" s="1"/>
      <c r="D31" s="1"/>
      <c r="E31" s="11" t="s">
        <v>36</v>
      </c>
      <c r="F31" s="1"/>
      <c r="G31" s="1"/>
    </row>
    <row r="32" customFormat="false" ht="15" hidden="false" customHeight="false" outlineLevel="0" collapsed="false">
      <c r="A32" s="1"/>
      <c r="B32" s="1"/>
      <c r="C32" s="1"/>
      <c r="D32" s="1"/>
      <c r="E32" s="6" t="s">
        <v>37</v>
      </c>
      <c r="F32" s="32" t="n">
        <f aca="false">IF(F19&gt;0,F10/F19,0)</f>
        <v>0.914831356845834</v>
      </c>
      <c r="G32" s="1"/>
    </row>
    <row r="33" customFormat="false" ht="15" hidden="false" customHeight="false" outlineLevel="0" collapsed="false">
      <c r="A33" s="1"/>
      <c r="B33" s="1"/>
      <c r="C33" s="1"/>
      <c r="D33" s="1"/>
      <c r="E33" s="6" t="s">
        <v>38</v>
      </c>
      <c r="F33" s="32" t="n">
        <f aca="false">IF(F19&gt;0,F17/F19,0)</f>
        <v>0.085168643154166</v>
      </c>
      <c r="G33" s="1"/>
    </row>
    <row r="34" customFormat="false" ht="15" hidden="false" customHeight="false" outlineLevel="0" collapsed="false">
      <c r="A34" s="1"/>
      <c r="B34" s="1"/>
      <c r="C34" s="1"/>
      <c r="D34" s="1"/>
      <c r="E34" s="1"/>
      <c r="F34" s="1"/>
      <c r="G34" s="1"/>
    </row>
    <row r="35" customFormat="false" ht="15" hidden="false" customHeight="false" outlineLevel="0" collapsed="false">
      <c r="A35" s="1"/>
      <c r="B35" s="1"/>
      <c r="C35" s="1"/>
      <c r="D35" s="1"/>
      <c r="E35" s="33" t="s">
        <v>39</v>
      </c>
      <c r="F35" s="1"/>
      <c r="G35" s="1"/>
    </row>
    <row r="36" customFormat="false" ht="15" hidden="false" customHeight="false" outlineLevel="0" collapsed="false">
      <c r="A36" s="1"/>
      <c r="B36" s="1"/>
      <c r="C36" s="1"/>
      <c r="D36" s="1"/>
      <c r="E36" s="34" t="s">
        <v>40</v>
      </c>
      <c r="F36" s="34" t="s">
        <v>41</v>
      </c>
      <c r="G36" s="1"/>
    </row>
    <row r="37" customFormat="false" ht="15" hidden="false" customHeight="false" outlineLevel="0" collapsed="false">
      <c r="A37" s="1"/>
      <c r="B37" s="1"/>
      <c r="C37" s="1"/>
      <c r="D37" s="1"/>
      <c r="E37" s="34" t="s">
        <v>42</v>
      </c>
      <c r="F37" s="34" t="s">
        <v>43</v>
      </c>
      <c r="G37" s="1"/>
    </row>
    <row r="38" customFormat="false" ht="15" hidden="false" customHeight="false" outlineLevel="0" collapsed="false">
      <c r="A38" s="1"/>
      <c r="B38" s="1"/>
      <c r="C38" s="1"/>
      <c r="D38" s="1"/>
      <c r="E38" s="34" t="s">
        <v>44</v>
      </c>
      <c r="F38" s="34" t="s">
        <v>45</v>
      </c>
      <c r="G38" s="1"/>
    </row>
    <row r="39" customFormat="false" ht="15" hidden="false" customHeight="false" outlineLevel="0" collapsed="false">
      <c r="A39" s="1"/>
      <c r="B39" s="1"/>
      <c r="C39" s="1"/>
      <c r="D39" s="1"/>
      <c r="E39" s="34" t="s">
        <v>46</v>
      </c>
      <c r="F39" s="34" t="s">
        <v>47</v>
      </c>
      <c r="G39" s="1"/>
    </row>
    <row r="40" customFormat="false" ht="15" hidden="false" customHeight="false" outlineLevel="0" collapsed="false">
      <c r="A40" s="1"/>
      <c r="B40" s="1"/>
      <c r="C40" s="1"/>
      <c r="D40" s="1"/>
      <c r="E40" s="34" t="s">
        <v>48</v>
      </c>
      <c r="F40" s="34" t="s">
        <v>49</v>
      </c>
      <c r="G40" s="1"/>
    </row>
    <row r="41" customFormat="false" ht="15" hidden="false" customHeight="false" outlineLevel="0" collapsed="false">
      <c r="A41" s="1"/>
      <c r="B41" s="1"/>
      <c r="C41" s="1"/>
      <c r="D41" s="1"/>
      <c r="E41" s="34" t="s">
        <v>50</v>
      </c>
      <c r="F41" s="34" t="s">
        <v>51</v>
      </c>
      <c r="G41" s="1"/>
    </row>
    <row r="42" customFormat="false" ht="15" hidden="false" customHeight="false" outlineLevel="0" collapsed="false">
      <c r="A42" s="1"/>
      <c r="B42" s="1"/>
      <c r="C42" s="1"/>
      <c r="D42" s="1"/>
      <c r="E42" s="1"/>
      <c r="F42" s="1"/>
      <c r="G42" s="1"/>
    </row>
    <row r="43" customFormat="false" ht="15" hidden="false" customHeight="false" outlineLevel="0" collapsed="false">
      <c r="A43" s="1"/>
      <c r="B43" s="1"/>
      <c r="C43" s="1"/>
      <c r="D43" s="1"/>
      <c r="E43" s="1"/>
      <c r="F43" s="1"/>
      <c r="G43" s="1"/>
    </row>
    <row r="44" customFormat="false" ht="15" hidden="false" customHeight="false" outlineLevel="0" collapsed="false">
      <c r="A44" s="1"/>
      <c r="B44" s="1"/>
      <c r="C44" s="1"/>
      <c r="D44" s="1"/>
      <c r="E44" s="1"/>
      <c r="F44" s="1"/>
      <c r="G44" s="1"/>
    </row>
    <row r="45" customFormat="false" ht="15" hidden="false" customHeight="false" outlineLevel="0" collapsed="false">
      <c r="A45" s="1"/>
      <c r="B45" s="1"/>
      <c r="C45" s="1"/>
      <c r="D45" s="1"/>
      <c r="E45" s="1"/>
      <c r="F45" s="1"/>
      <c r="G45" s="1"/>
    </row>
    <row r="46" customFormat="false" ht="15" hidden="false" customHeight="false" outlineLevel="0" collapsed="false">
      <c r="A46" s="1"/>
      <c r="B46" s="1"/>
      <c r="C46" s="1"/>
      <c r="D46" s="1"/>
      <c r="E46" s="1"/>
      <c r="F46" s="1"/>
      <c r="G46" s="1"/>
    </row>
  </sheetData>
  <mergeCells count="7">
    <mergeCell ref="B2:F2"/>
    <mergeCell ref="B3:F3"/>
    <mergeCell ref="B5:C5"/>
    <mergeCell ref="E5:F5"/>
    <mergeCell ref="E7:F7"/>
    <mergeCell ref="E12:F12"/>
    <mergeCell ref="E25:F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D56" activeCellId="0" sqref="D56"/>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4" min="4" style="0" width="15"/>
    <col collapsed="false" customWidth="true" hidden="false" outlineLevel="0" max="5" min="5" style="0" width="12"/>
    <col collapsed="false" customWidth="true" hidden="false" outlineLevel="0" max="8" min="6" style="0" width="10"/>
    <col collapsed="false" customWidth="true" hidden="false" outlineLevel="0" max="11" min="9" style="0" width="15"/>
    <col collapsed="false" customWidth="true" hidden="false" outlineLevel="0" max="12" min="12" style="0" width="12"/>
    <col collapsed="false" customWidth="true" hidden="false" outlineLevel="0" max="14" min="13" style="0" width="15"/>
    <col collapsed="false" customWidth="true" hidden="false" outlineLevel="0" max="15" min="15" style="0" width="18"/>
    <col collapsed="false" customWidth="true" hidden="false" outlineLevel="0" max="17" min="16" style="0" width="15"/>
    <col collapsed="false" customWidth="true" hidden="false" outlineLevel="0" max="18" min="18" style="0" width="18"/>
    <col collapsed="false" customWidth="true" hidden="false" outlineLevel="0" max="19" min="19" style="0" width="12"/>
    <col collapsed="false" customWidth="true" hidden="false" outlineLevel="0" max="20" min="20" style="0" width="18"/>
    <col collapsed="false" customWidth="true" hidden="false" outlineLevel="0" max="23" min="21" style="0" width="12"/>
    <col collapsed="false" customWidth="true" hidden="false" outlineLevel="0" max="26" min="24" style="0" width="10"/>
  </cols>
  <sheetData>
    <row r="1" customFormat="false" ht="15" hidden="false" customHeight="false" outlineLevel="0" collapsed="false">
      <c r="A1" s="1"/>
      <c r="B1" s="35" t="s">
        <v>52</v>
      </c>
      <c r="C1" s="35"/>
      <c r="D1" s="35"/>
      <c r="E1" s="35"/>
      <c r="F1" s="35"/>
      <c r="G1" s="35"/>
      <c r="H1" s="35"/>
      <c r="I1" s="35"/>
      <c r="J1" s="35"/>
      <c r="K1" s="35"/>
      <c r="L1" s="35"/>
      <c r="M1" s="35"/>
      <c r="N1" s="35"/>
      <c r="O1" s="35"/>
      <c r="P1" s="35"/>
      <c r="Q1" s="35"/>
      <c r="R1" s="35"/>
      <c r="S1" s="35"/>
      <c r="T1" s="35"/>
      <c r="U1" s="35"/>
      <c r="V1" s="1"/>
      <c r="W1" s="1"/>
      <c r="X1" s="1"/>
      <c r="Y1" s="1"/>
      <c r="Z1" s="1"/>
    </row>
    <row r="2" customFormat="false" ht="15" hidden="false" customHeight="false" outlineLevel="0" collapsed="false">
      <c r="A2" s="1"/>
      <c r="B2" s="36" t="s">
        <v>53</v>
      </c>
      <c r="C2" s="36"/>
      <c r="D2" s="37" t="s">
        <v>9</v>
      </c>
      <c r="E2" s="37"/>
      <c r="F2" s="37"/>
      <c r="G2" s="37"/>
      <c r="H2" s="37"/>
      <c r="I2" s="38" t="s">
        <v>54</v>
      </c>
      <c r="J2" s="38"/>
      <c r="K2" s="38"/>
      <c r="L2" s="39" t="s">
        <v>55</v>
      </c>
      <c r="M2" s="37" t="s">
        <v>56</v>
      </c>
      <c r="N2" s="37"/>
      <c r="O2" s="37"/>
      <c r="P2" s="38" t="s">
        <v>57</v>
      </c>
      <c r="Q2" s="38"/>
      <c r="R2" s="40" t="s">
        <v>50</v>
      </c>
      <c r="S2" s="40"/>
      <c r="T2" s="40"/>
      <c r="U2" s="40"/>
      <c r="V2" s="41" t="s">
        <v>58</v>
      </c>
      <c r="W2" s="41"/>
      <c r="X2" s="41"/>
      <c r="Y2" s="41"/>
      <c r="Z2" s="41"/>
    </row>
    <row r="3" customFormat="false" ht="15" hidden="false" customHeight="false" outlineLevel="0" collapsed="false">
      <c r="A3" s="42" t="s">
        <v>59</v>
      </c>
      <c r="B3" s="43" t="s">
        <v>3</v>
      </c>
      <c r="C3" s="43" t="s">
        <v>6</v>
      </c>
      <c r="D3" s="44" t="s">
        <v>11</v>
      </c>
      <c r="E3" s="44" t="s">
        <v>60</v>
      </c>
      <c r="F3" s="44" t="s">
        <v>61</v>
      </c>
      <c r="G3" s="44" t="s">
        <v>62</v>
      </c>
      <c r="H3" s="44" t="s">
        <v>63</v>
      </c>
      <c r="I3" s="45" t="s">
        <v>64</v>
      </c>
      <c r="J3" s="45" t="s">
        <v>65</v>
      </c>
      <c r="K3" s="45" t="s">
        <v>66</v>
      </c>
      <c r="L3" s="42" t="s">
        <v>67</v>
      </c>
      <c r="M3" s="44" t="s">
        <v>40</v>
      </c>
      <c r="N3" s="44" t="s">
        <v>42</v>
      </c>
      <c r="O3" s="44" t="s">
        <v>44</v>
      </c>
      <c r="P3" s="45" t="s">
        <v>68</v>
      </c>
      <c r="Q3" s="45" t="s">
        <v>48</v>
      </c>
      <c r="R3" s="46" t="s">
        <v>69</v>
      </c>
      <c r="S3" s="46" t="s">
        <v>70</v>
      </c>
      <c r="T3" s="46" t="s">
        <v>71</v>
      </c>
      <c r="U3" s="46" t="s">
        <v>72</v>
      </c>
      <c r="V3" s="47" t="s">
        <v>73</v>
      </c>
      <c r="W3" s="47" t="s">
        <v>74</v>
      </c>
      <c r="X3" s="47" t="s">
        <v>75</v>
      </c>
      <c r="Y3" s="47" t="s">
        <v>76</v>
      </c>
      <c r="Z3" s="47" t="s">
        <v>77</v>
      </c>
    </row>
    <row r="4" customFormat="false" ht="15" hidden="false" customHeight="false" outlineLevel="0" collapsed="false">
      <c r="A4" s="48" t="n">
        <v>1</v>
      </c>
      <c r="B4" s="49" t="s">
        <v>4</v>
      </c>
      <c r="C4" s="50" t="n">
        <v>1600</v>
      </c>
      <c r="D4" s="51" t="n">
        <v>110000000</v>
      </c>
      <c r="E4" s="52" t="n">
        <v>1</v>
      </c>
      <c r="F4" s="53" t="n">
        <v>4.5</v>
      </c>
      <c r="G4" s="52" t="n">
        <v>0.2</v>
      </c>
      <c r="H4" s="54" t="n">
        <v>20</v>
      </c>
      <c r="I4" s="55" t="n">
        <v>50000000</v>
      </c>
      <c r="J4" s="55" t="n">
        <v>10000000</v>
      </c>
      <c r="K4" s="55" t="n">
        <v>5000000</v>
      </c>
      <c r="L4" s="56" t="n">
        <v>2900</v>
      </c>
      <c r="M4" s="57" t="n">
        <f aca="false">IF($D4&gt;0,$D4*$E4*$F4,"")</f>
        <v>495000000</v>
      </c>
      <c r="N4" s="57" t="n">
        <f aca="false">IF($M4&lt;&gt;"",$M4*$G4,"")</f>
        <v>99000000</v>
      </c>
      <c r="O4" s="57" t="n">
        <f aca="false">IF($N4&lt;&gt;"",$N4*$H4,"")</f>
        <v>1980000000</v>
      </c>
      <c r="P4" s="58" t="n">
        <f aca="false">IF($D4&gt;0,($D4*$E4)*0.05,"")</f>
        <v>5500000</v>
      </c>
      <c r="Q4" s="58" t="n">
        <f aca="false">IF($P4&lt;&gt;"",$P4+$I4+$J4+$K4,"")</f>
        <v>70500000</v>
      </c>
      <c r="R4" s="59" t="n">
        <f aca="false">IF($O4&lt;&gt;"",$O4+$Q4,"")</f>
        <v>2050500000</v>
      </c>
      <c r="S4" s="60" t="n">
        <f aca="false">IF($R4&lt;&gt;"",$R4/1000000000,"")</f>
        <v>2.0505</v>
      </c>
      <c r="T4" s="61" t="n">
        <f aca="false">IF(AND($R4&lt;&gt;"",$L4&gt;0),$R4*$L4,"")</f>
        <v>5946450000000</v>
      </c>
      <c r="U4" s="62" t="n">
        <f aca="false">IF($T4&lt;&gt;"",$T4/1000000000000,"")</f>
        <v>5.94645</v>
      </c>
      <c r="V4" s="63" t="n">
        <f aca="false">IF(AND($O4&lt;&gt;"",$Q4&gt;0),$O4/$Q4,"")</f>
        <v>28.0851063829787</v>
      </c>
      <c r="W4" s="64" t="n">
        <f aca="false">IF(AND($R4&lt;&gt;"",$D4&gt;0),$R4/$D4,"")</f>
        <v>18.6409090909091</v>
      </c>
      <c r="X4" s="65" t="n">
        <f aca="false">IF(AND($N4&lt;&gt;"",$R4&gt;0),$N4/$R4,"")</f>
        <v>0.0482809070958303</v>
      </c>
      <c r="Y4" s="66" t="n">
        <f aca="false">IF(AND($O4&lt;&gt;"",$R4&gt;0),$O4/$R4,"")</f>
        <v>0.965618141916606</v>
      </c>
      <c r="Z4" s="66" t="n">
        <f aca="false">IF(AND($Q4&lt;&gt;"",$R4&gt;0),$Q4/$R4,"")</f>
        <v>0.0343818580833943</v>
      </c>
    </row>
    <row r="5" customFormat="false" ht="15" hidden="false" customHeight="false" outlineLevel="0" collapsed="false">
      <c r="A5" s="48" t="n">
        <v>2</v>
      </c>
      <c r="B5" s="49" t="s">
        <v>78</v>
      </c>
      <c r="C5" s="50" t="n">
        <v>1080</v>
      </c>
      <c r="D5" s="51" t="n">
        <v>100000000</v>
      </c>
      <c r="E5" s="52" t="n">
        <v>1.2</v>
      </c>
      <c r="F5" s="53" t="n">
        <v>6</v>
      </c>
      <c r="G5" s="52" t="n">
        <v>0.15</v>
      </c>
      <c r="H5" s="54" t="n">
        <v>15</v>
      </c>
      <c r="I5" s="55" t="n">
        <v>5000000</v>
      </c>
      <c r="J5" s="55" t="n">
        <v>0</v>
      </c>
      <c r="K5" s="55" t="n">
        <v>0</v>
      </c>
      <c r="L5" s="56" t="n">
        <v>2900</v>
      </c>
      <c r="M5" s="57" t="n">
        <f aca="false">IF($D5&gt;0,$D5*$E5*$F5,"")</f>
        <v>720000000</v>
      </c>
      <c r="N5" s="57" t="n">
        <f aca="false">IF($M5&lt;&gt;"",$M5*$G5,"")</f>
        <v>108000000</v>
      </c>
      <c r="O5" s="57" t="n">
        <f aca="false">IF($N5&lt;&gt;"",$N5*$H5,"")</f>
        <v>1620000000</v>
      </c>
      <c r="P5" s="58" t="n">
        <f aca="false">IF($D5&gt;0,($D5*$E5)*0.05,"")</f>
        <v>6000000</v>
      </c>
      <c r="Q5" s="58" t="n">
        <f aca="false">IF($P5&lt;&gt;"",$P5+$I5+$J5+$K5,"")</f>
        <v>11000000</v>
      </c>
      <c r="R5" s="59" t="n">
        <f aca="false">IF($O5&lt;&gt;"",$O5+$Q5,"")</f>
        <v>1631000000</v>
      </c>
      <c r="S5" s="60" t="n">
        <f aca="false">IF($R5&lt;&gt;"",$R5/1000000000,"")</f>
        <v>1.631</v>
      </c>
      <c r="T5" s="61" t="n">
        <f aca="false">IF(AND($R5&lt;&gt;"",$L5&gt;0),$R5*$L5,"")</f>
        <v>4729900000000</v>
      </c>
      <c r="U5" s="62" t="n">
        <f aca="false">IF($T5&lt;&gt;"",$T5/1000000000000,"")</f>
        <v>4.7299</v>
      </c>
      <c r="V5" s="63" t="n">
        <f aca="false">IF(AND($O5&lt;&gt;"",$Q5&gt;0),$O5/$Q5,"")</f>
        <v>147.272727272727</v>
      </c>
      <c r="W5" s="64" t="n">
        <f aca="false">IF(AND($R5&lt;&gt;"",$D5&gt;0),$R5/$D5,"")</f>
        <v>16.31</v>
      </c>
      <c r="X5" s="65" t="n">
        <f aca="false">IF(AND($N5&lt;&gt;"",$R5&gt;0),$N5/$R5,"")</f>
        <v>0.0662170447578173</v>
      </c>
      <c r="Y5" s="66" t="n">
        <f aca="false">IF(AND($O5&lt;&gt;"",$R5&gt;0),$O5/$R5,"")</f>
        <v>0.993255671367259</v>
      </c>
      <c r="Z5" s="66" t="n">
        <f aca="false">IF(AND($Q5&lt;&gt;"",$R5&gt;0),$Q5/$R5,"")</f>
        <v>0.00674432863274065</v>
      </c>
    </row>
    <row r="6" customFormat="false" ht="15" hidden="false" customHeight="false" outlineLevel="0" collapsed="false">
      <c r="A6" s="48" t="n">
        <v>3</v>
      </c>
      <c r="B6" s="49" t="s">
        <v>79</v>
      </c>
      <c r="C6" s="50" t="n">
        <v>1913</v>
      </c>
      <c r="D6" s="51" t="n">
        <v>170000000</v>
      </c>
      <c r="E6" s="52" t="n">
        <v>0.8</v>
      </c>
      <c r="F6" s="53" t="n">
        <v>5</v>
      </c>
      <c r="G6" s="52" t="n">
        <v>0.17</v>
      </c>
      <c r="H6" s="54" t="n">
        <v>10</v>
      </c>
      <c r="I6" s="55" t="n">
        <v>55000000</v>
      </c>
      <c r="J6" s="55" t="n">
        <v>100000000</v>
      </c>
      <c r="K6" s="55" t="n">
        <v>0</v>
      </c>
      <c r="L6" s="56" t="n">
        <v>2900</v>
      </c>
      <c r="M6" s="57" t="n">
        <f aca="false">IF($D6&gt;0,$D6*$E6*$F6,"")</f>
        <v>680000000</v>
      </c>
      <c r="N6" s="57" t="n">
        <f aca="false">IF($M6&lt;&gt;"",$M6*$G6,"")</f>
        <v>115600000</v>
      </c>
      <c r="O6" s="57" t="n">
        <f aca="false">IF($N6&lt;&gt;"",$N6*$H6,"")</f>
        <v>1156000000</v>
      </c>
      <c r="P6" s="58" t="n">
        <f aca="false">IF($D6&gt;0,($D6*$E6)*0.05,"")</f>
        <v>6800000</v>
      </c>
      <c r="Q6" s="58" t="n">
        <f aca="false">IF($P6&lt;&gt;"",$P6+$I6+$J6+$K6,"")</f>
        <v>161800000</v>
      </c>
      <c r="R6" s="59" t="n">
        <f aca="false">IF($O6&lt;&gt;"",$O6+$Q6,"")</f>
        <v>1317800000</v>
      </c>
      <c r="S6" s="60" t="n">
        <f aca="false">IF($R6&lt;&gt;"",$R6/1000000000,"")</f>
        <v>1.3178</v>
      </c>
      <c r="T6" s="61" t="n">
        <f aca="false">IF(AND($R6&lt;&gt;"",$L6&gt;0),$R6*$L6,"")</f>
        <v>3821620000000</v>
      </c>
      <c r="U6" s="62" t="n">
        <f aca="false">IF($T6&lt;&gt;"",$T6/1000000000000,"")</f>
        <v>3.82162</v>
      </c>
      <c r="V6" s="63" t="n">
        <f aca="false">IF(AND($O6&lt;&gt;"",$Q6&gt;0),$O6/$Q6,"")</f>
        <v>7.14462299134734</v>
      </c>
      <c r="W6" s="64" t="n">
        <f aca="false">IF(AND($R6&lt;&gt;"",$D6&gt;0),$R6/$D6,"")</f>
        <v>7.75176470588235</v>
      </c>
      <c r="X6" s="65" t="n">
        <f aca="false">IF(AND($N6&lt;&gt;"",$R6&gt;0),$N6/$R6,"")</f>
        <v>0.0877219608438306</v>
      </c>
      <c r="Y6" s="66" t="n">
        <f aca="false">IF(AND($O6&lt;&gt;"",$R6&gt;0),$O6/$R6,"")</f>
        <v>0.877219608438306</v>
      </c>
      <c r="Z6" s="66" t="n">
        <f aca="false">IF(AND($Q6&lt;&gt;"",$R6&gt;0),$Q6/$R6,"")</f>
        <v>0.122780391561694</v>
      </c>
    </row>
    <row r="7" customFormat="false" ht="15" hidden="false" customHeight="false" outlineLevel="0" collapsed="false">
      <c r="A7" s="48" t="n">
        <v>4</v>
      </c>
      <c r="B7" s="49" t="s">
        <v>80</v>
      </c>
      <c r="C7" s="50" t="n">
        <v>700</v>
      </c>
      <c r="D7" s="51" t="n">
        <v>50000000</v>
      </c>
      <c r="E7" s="52" t="n">
        <v>1</v>
      </c>
      <c r="F7" s="53" t="n">
        <v>5</v>
      </c>
      <c r="G7" s="52" t="n">
        <v>0.15</v>
      </c>
      <c r="H7" s="54" t="n">
        <v>18</v>
      </c>
      <c r="I7" s="55" t="n">
        <v>30000000</v>
      </c>
      <c r="J7" s="55" t="n">
        <v>40000000</v>
      </c>
      <c r="K7" s="55" t="n">
        <v>0</v>
      </c>
      <c r="L7" s="56" t="n">
        <v>2900</v>
      </c>
      <c r="M7" s="57" t="n">
        <f aca="false">IF($D7&gt;0,$D7*$E7*$F7,"")</f>
        <v>250000000</v>
      </c>
      <c r="N7" s="57" t="n">
        <f aca="false">IF($M7&lt;&gt;"",$M7*$G7,"")</f>
        <v>37500000</v>
      </c>
      <c r="O7" s="57" t="n">
        <f aca="false">IF($N7&lt;&gt;"",$N7*$H7,"")</f>
        <v>675000000</v>
      </c>
      <c r="P7" s="58" t="n">
        <f aca="false">IF($D7&gt;0,($D7*$E7)*0.05,"")</f>
        <v>2500000</v>
      </c>
      <c r="Q7" s="58" t="n">
        <f aca="false">IF($P7&lt;&gt;"",$P7+$I7+$J7+$K7,"")</f>
        <v>72500000</v>
      </c>
      <c r="R7" s="59" t="n">
        <f aca="false">IF($O7&lt;&gt;"",$O7+$Q7,"")</f>
        <v>747500000</v>
      </c>
      <c r="S7" s="60" t="n">
        <f aca="false">IF($R7&lt;&gt;"",$R7/1000000000,"")</f>
        <v>0.7475</v>
      </c>
      <c r="T7" s="61" t="n">
        <f aca="false">IF(AND($R7&lt;&gt;"",$L7&gt;0),$R7*$L7,"")</f>
        <v>2167750000000</v>
      </c>
      <c r="U7" s="62" t="n">
        <f aca="false">IF($T7&lt;&gt;"",$T7/1000000000000,"")</f>
        <v>2.16775</v>
      </c>
      <c r="V7" s="63" t="n">
        <f aca="false">IF(AND($O7&lt;&gt;"",$Q7&gt;0),$O7/$Q7,"")</f>
        <v>9.31034482758621</v>
      </c>
      <c r="W7" s="64" t="n">
        <f aca="false">IF(AND($R7&lt;&gt;"",$D7&gt;0),$R7/$D7,"")</f>
        <v>14.95</v>
      </c>
      <c r="X7" s="65" t="n">
        <f aca="false">IF(AND($N7&lt;&gt;"",$R7&gt;0),$N7/$R7,"")</f>
        <v>0.0501672240802676</v>
      </c>
      <c r="Y7" s="66" t="n">
        <f aca="false">IF(AND($O7&lt;&gt;"",$R7&gt;0),$O7/$R7,"")</f>
        <v>0.903010033444816</v>
      </c>
      <c r="Z7" s="66" t="n">
        <f aca="false">IF(AND($Q7&lt;&gt;"",$R7&gt;0),$Q7/$R7,"")</f>
        <v>0.0969899665551839</v>
      </c>
    </row>
    <row r="8" customFormat="false" ht="15" hidden="false" customHeight="false" outlineLevel="0" collapsed="false">
      <c r="A8" s="48" t="n">
        <v>5</v>
      </c>
      <c r="B8" s="49" t="s">
        <v>81</v>
      </c>
      <c r="C8" s="50" t="n">
        <v>1227</v>
      </c>
      <c r="D8" s="51" t="n">
        <v>60000000</v>
      </c>
      <c r="E8" s="52" t="n">
        <v>0.5</v>
      </c>
      <c r="F8" s="53" t="n">
        <v>3</v>
      </c>
      <c r="G8" s="52" t="n">
        <v>0.3</v>
      </c>
      <c r="H8" s="54" t="n">
        <v>15</v>
      </c>
      <c r="I8" s="55" t="n">
        <v>50000000</v>
      </c>
      <c r="J8" s="55" t="n">
        <v>10000000</v>
      </c>
      <c r="K8" s="55" t="n">
        <v>100000000</v>
      </c>
      <c r="L8" s="56" t="n">
        <v>2900</v>
      </c>
      <c r="M8" s="57" t="n">
        <f aca="false">IF($D8&gt;0,$D8*$E8*$F8,"")</f>
        <v>90000000</v>
      </c>
      <c r="N8" s="57" t="n">
        <f aca="false">IF($M8&lt;&gt;"",$M8*$G8,"")</f>
        <v>27000000</v>
      </c>
      <c r="O8" s="57" t="n">
        <f aca="false">IF($N8&lt;&gt;"",$N8*$H8,"")</f>
        <v>405000000</v>
      </c>
      <c r="P8" s="58" t="n">
        <f aca="false">IF($D8&gt;0,($D8*$E8)*0.05,"")</f>
        <v>1500000</v>
      </c>
      <c r="Q8" s="58" t="n">
        <f aca="false">IF($P8&lt;&gt;"",$P8+$I8+$J8+$K8,"")</f>
        <v>161500000</v>
      </c>
      <c r="R8" s="59" t="n">
        <f aca="false">IF($O8&lt;&gt;"",$O8+$Q8,"")</f>
        <v>566500000</v>
      </c>
      <c r="S8" s="60" t="n">
        <f aca="false">IF($R8&lt;&gt;"",$R8/1000000000,"")</f>
        <v>0.5665</v>
      </c>
      <c r="T8" s="61" t="n">
        <f aca="false">IF(AND($R8&lt;&gt;"",$L8&gt;0),$R8*$L8,"")</f>
        <v>1642850000000</v>
      </c>
      <c r="U8" s="62" t="n">
        <f aca="false">IF($T8&lt;&gt;"",$T8/1000000000000,"")</f>
        <v>1.64285</v>
      </c>
      <c r="V8" s="63" t="n">
        <f aca="false">IF(AND($O8&lt;&gt;"",$Q8&gt;0),$O8/$Q8,"")</f>
        <v>2.5077399380805</v>
      </c>
      <c r="W8" s="64" t="n">
        <f aca="false">IF(AND($R8&lt;&gt;"",$D8&gt;0),$R8/$D8,"")</f>
        <v>9.44166666666667</v>
      </c>
      <c r="X8" s="65" t="n">
        <f aca="false">IF(AND($N8&lt;&gt;"",$R8&gt;0),$N8/$R8,"")</f>
        <v>0.0476610767872904</v>
      </c>
      <c r="Y8" s="66" t="n">
        <f aca="false">IF(AND($O8&lt;&gt;"",$R8&gt;0),$O8/$R8,"")</f>
        <v>0.714916151809356</v>
      </c>
      <c r="Z8" s="66" t="n">
        <f aca="false">IF(AND($Q8&lt;&gt;"",$R8&gt;0),$Q8/$R8,"")</f>
        <v>0.285083848190644</v>
      </c>
    </row>
    <row r="9" customFormat="false" ht="15" hidden="false" customHeight="false" outlineLevel="0" collapsed="false">
      <c r="A9" s="48" t="n">
        <v>6</v>
      </c>
      <c r="B9" s="49" t="s">
        <v>82</v>
      </c>
      <c r="C9" s="50" t="n">
        <v>14</v>
      </c>
      <c r="D9" s="51" t="n">
        <v>55000000</v>
      </c>
      <c r="E9" s="52" t="n">
        <v>0.8</v>
      </c>
      <c r="F9" s="53" t="n">
        <v>4.5</v>
      </c>
      <c r="G9" s="52" t="n">
        <v>0.1</v>
      </c>
      <c r="H9" s="54" t="n">
        <v>20</v>
      </c>
      <c r="I9" s="55" t="n">
        <v>200000</v>
      </c>
      <c r="J9" s="55" t="n">
        <v>5000000</v>
      </c>
      <c r="K9" s="55" t="n">
        <v>10000000</v>
      </c>
      <c r="L9" s="56" t="n">
        <v>2900</v>
      </c>
      <c r="M9" s="57" t="n">
        <f aca="false">IF($D9&gt;0,$D9*$E9*$F9,"")</f>
        <v>198000000</v>
      </c>
      <c r="N9" s="57" t="n">
        <f aca="false">IF($M9&lt;&gt;"",$M9*$G9,"")</f>
        <v>19800000</v>
      </c>
      <c r="O9" s="57" t="n">
        <f aca="false">IF($N9&lt;&gt;"",$N9*$H9,"")</f>
        <v>396000000</v>
      </c>
      <c r="P9" s="58" t="n">
        <f aca="false">IF($D9&gt;0,($D9*$E9)*0.05,"")</f>
        <v>2200000</v>
      </c>
      <c r="Q9" s="58" t="n">
        <f aca="false">IF($P9&lt;&gt;"",$P9+$I9+$J9+$K9,"")</f>
        <v>17400000</v>
      </c>
      <c r="R9" s="59" t="n">
        <f aca="false">IF($O9&lt;&gt;"",$O9+$Q9,"")</f>
        <v>413400000</v>
      </c>
      <c r="S9" s="60" t="n">
        <f aca="false">IF($R9&lt;&gt;"",$R9/1000000000,"")</f>
        <v>0.4134</v>
      </c>
      <c r="T9" s="61" t="n">
        <f aca="false">IF(AND($R9&lt;&gt;"",$L9&gt;0),$R9*$L9,"")</f>
        <v>1198860000000</v>
      </c>
      <c r="U9" s="62" t="n">
        <f aca="false">IF($T9&lt;&gt;"",$T9/1000000000000,"")</f>
        <v>1.19886</v>
      </c>
      <c r="V9" s="63" t="n">
        <f aca="false">IF(AND($O9&lt;&gt;"",$Q9&gt;0),$O9/$Q9,"")</f>
        <v>22.7586206896552</v>
      </c>
      <c r="W9" s="64" t="n">
        <f aca="false">IF(AND($R9&lt;&gt;"",$D9&gt;0),$R9/$D9,"")</f>
        <v>7.51636363636364</v>
      </c>
      <c r="X9" s="65" t="n">
        <f aca="false">IF(AND($N9&lt;&gt;"",$R9&gt;0),$N9/$R9,"")</f>
        <v>0.0478955007256894</v>
      </c>
      <c r="Y9" s="66" t="n">
        <f aca="false">IF(AND($O9&lt;&gt;"",$R9&gt;0),$O9/$R9,"")</f>
        <v>0.957910014513788</v>
      </c>
      <c r="Z9" s="66" t="n">
        <f aca="false">IF(AND($Q9&lt;&gt;"",$R9&gt;0),$Q9/$R9,"")</f>
        <v>0.0420899854862119</v>
      </c>
    </row>
    <row r="10" customFormat="false" ht="15" hidden="false" customHeight="false" outlineLevel="0" collapsed="false">
      <c r="A10" s="48" t="n">
        <v>7</v>
      </c>
      <c r="B10" s="49" t="s">
        <v>83</v>
      </c>
      <c r="C10" s="50" t="n">
        <v>1580</v>
      </c>
      <c r="D10" s="51" t="n">
        <v>25000000</v>
      </c>
      <c r="E10" s="52" t="n">
        <v>0.8</v>
      </c>
      <c r="F10" s="53" t="n">
        <v>5.5</v>
      </c>
      <c r="G10" s="52" t="n">
        <v>0.2</v>
      </c>
      <c r="H10" s="54" t="n">
        <v>12</v>
      </c>
      <c r="I10" s="55" t="n">
        <v>20000000</v>
      </c>
      <c r="J10" s="55" t="n">
        <v>50000000</v>
      </c>
      <c r="K10" s="55" t="n">
        <v>30000000</v>
      </c>
      <c r="L10" s="56" t="n">
        <v>2900</v>
      </c>
      <c r="M10" s="57" t="n">
        <f aca="false">IF($D10&gt;0,$D10*$E10*$F10,"")</f>
        <v>110000000</v>
      </c>
      <c r="N10" s="57" t="n">
        <f aca="false">IF($M10&lt;&gt;"",$M10*$G10,"")</f>
        <v>22000000</v>
      </c>
      <c r="O10" s="57" t="n">
        <f aca="false">IF($N10&lt;&gt;"",$N10*$H10,"")</f>
        <v>264000000</v>
      </c>
      <c r="P10" s="58" t="n">
        <f aca="false">IF($D10&gt;0,($D10*$E10)*0.05,"")</f>
        <v>1000000</v>
      </c>
      <c r="Q10" s="58" t="n">
        <f aca="false">IF($P10&lt;&gt;"",$P10+$I10+$J10+$K10,"")</f>
        <v>101000000</v>
      </c>
      <c r="R10" s="59" t="n">
        <f aca="false">IF($O10&lt;&gt;"",$O10+$Q10,"")</f>
        <v>365000000</v>
      </c>
      <c r="S10" s="60" t="n">
        <f aca="false">IF($R10&lt;&gt;"",$R10/1000000000,"")</f>
        <v>0.365</v>
      </c>
      <c r="T10" s="61" t="n">
        <f aca="false">IF(AND($R10&lt;&gt;"",$L10&gt;0),$R10*$L10,"")</f>
        <v>1058500000000</v>
      </c>
      <c r="U10" s="62" t="n">
        <f aca="false">IF($T10&lt;&gt;"",$T10/1000000000000,"")</f>
        <v>1.0585</v>
      </c>
      <c r="V10" s="63" t="n">
        <f aca="false">IF(AND($O10&lt;&gt;"",$Q10&gt;0),$O10/$Q10,"")</f>
        <v>2.61386138613861</v>
      </c>
      <c r="W10" s="64" t="n">
        <f aca="false">IF(AND($R10&lt;&gt;"",$D10&gt;0),$R10/$D10,"")</f>
        <v>14.6</v>
      </c>
      <c r="X10" s="65" t="n">
        <f aca="false">IF(AND($N10&lt;&gt;"",$R10&gt;0),$N10/$R10,"")</f>
        <v>0.0602739726027397</v>
      </c>
      <c r="Y10" s="66" t="n">
        <f aca="false">IF(AND($O10&lt;&gt;"",$R10&gt;0),$O10/$R10,"")</f>
        <v>0.723287671232877</v>
      </c>
      <c r="Z10" s="66" t="n">
        <f aca="false">IF(AND($Q10&lt;&gt;"",$R10&gt;0),$Q10/$R10,"")</f>
        <v>0.276712328767123</v>
      </c>
    </row>
    <row r="11" customFormat="false" ht="15" hidden="false" customHeight="false" outlineLevel="0" collapsed="false">
      <c r="A11" s="48" t="n">
        <v>8</v>
      </c>
      <c r="B11" s="49" t="s">
        <v>84</v>
      </c>
      <c r="C11" s="50" t="n">
        <v>1940</v>
      </c>
      <c r="D11" s="51" t="n">
        <v>16340000</v>
      </c>
      <c r="E11" s="52" t="n">
        <v>0.7</v>
      </c>
      <c r="F11" s="53" t="n">
        <v>4</v>
      </c>
      <c r="G11" s="52" t="n">
        <v>0.12</v>
      </c>
      <c r="H11" s="54" t="n">
        <v>10</v>
      </c>
      <c r="I11" s="55" t="n">
        <v>150000000</v>
      </c>
      <c r="J11" s="55" t="n">
        <v>50000000</v>
      </c>
      <c r="K11" s="55" t="n">
        <v>0</v>
      </c>
      <c r="L11" s="56" t="n">
        <v>2900</v>
      </c>
      <c r="M11" s="57" t="n">
        <f aca="false">IF($D11&gt;0,$D11*$E11*$F11,"")</f>
        <v>45752000</v>
      </c>
      <c r="N11" s="57" t="n">
        <f aca="false">IF($M11&lt;&gt;"",$M11*$G11,"")</f>
        <v>5490240</v>
      </c>
      <c r="O11" s="57" t="n">
        <f aca="false">IF($N11&lt;&gt;"",$N11*$H11,"")</f>
        <v>54902400</v>
      </c>
      <c r="P11" s="58" t="n">
        <f aca="false">IF($D11&gt;0,($D11*$E11)*0.05,"")</f>
        <v>571900</v>
      </c>
      <c r="Q11" s="58" t="n">
        <f aca="false">IF($P11&lt;&gt;"",$P11+$I11+$J11+$K11,"")</f>
        <v>200571900</v>
      </c>
      <c r="R11" s="59" t="n">
        <f aca="false">IF($O11&lt;&gt;"",$O11+$Q11,"")</f>
        <v>255474300</v>
      </c>
      <c r="S11" s="60" t="n">
        <f aca="false">IF($R11&lt;&gt;"",$R11/1000000000,"")</f>
        <v>0.2554743</v>
      </c>
      <c r="T11" s="61" t="n">
        <f aca="false">IF(AND($R11&lt;&gt;"",$L11&gt;0),$R11*$L11,"")</f>
        <v>740875470000</v>
      </c>
      <c r="U11" s="62" t="n">
        <f aca="false">IF($T11&lt;&gt;"",$T11/1000000000000,"")</f>
        <v>0.74087547</v>
      </c>
      <c r="V11" s="63" t="n">
        <f aca="false">IF(AND($O11&lt;&gt;"",$Q11&gt;0),$O11/$Q11,"")</f>
        <v>0.273729271149149</v>
      </c>
      <c r="W11" s="64" t="n">
        <f aca="false">IF(AND($R11&lt;&gt;"",$D11&gt;0),$R11/$D11,"")</f>
        <v>15.6349020807834</v>
      </c>
      <c r="X11" s="65" t="n">
        <f aca="false">IF(AND($N11&lt;&gt;"",$R11&gt;0),$N11/$R11,"")</f>
        <v>0.0214903808328274</v>
      </c>
      <c r="Y11" s="66" t="n">
        <f aca="false">IF(AND($O11&lt;&gt;"",$R11&gt;0),$O11/$R11,"")</f>
        <v>0.214903808328274</v>
      </c>
      <c r="Z11" s="66" t="n">
        <f aca="false">IF(AND($Q11&lt;&gt;"",$R11&gt;0),$Q11/$R11,"")</f>
        <v>0.785096191671726</v>
      </c>
    </row>
    <row r="12" customFormat="false" ht="15" hidden="false" customHeight="false" outlineLevel="0" collapsed="false">
      <c r="A12" s="48" t="n">
        <v>9</v>
      </c>
      <c r="B12" s="49" t="s">
        <v>85</v>
      </c>
      <c r="C12" s="50" t="n">
        <v>1324</v>
      </c>
      <c r="D12" s="51" t="n">
        <v>20000000</v>
      </c>
      <c r="E12" s="52" t="n">
        <v>0.8</v>
      </c>
      <c r="F12" s="53" t="n">
        <v>4</v>
      </c>
      <c r="G12" s="52" t="n">
        <v>0.15</v>
      </c>
      <c r="H12" s="54" t="n">
        <v>20</v>
      </c>
      <c r="I12" s="55" t="n">
        <v>16000000</v>
      </c>
      <c r="J12" s="55" t="n">
        <v>0</v>
      </c>
      <c r="K12" s="55" t="n">
        <v>0</v>
      </c>
      <c r="L12" s="56" t="n">
        <v>2900</v>
      </c>
      <c r="M12" s="57" t="n">
        <f aca="false">IF($D12&gt;0,$D12*$E12*$F12,"")</f>
        <v>64000000</v>
      </c>
      <c r="N12" s="57" t="n">
        <f aca="false">IF($M12&lt;&gt;"",$M12*$G12,"")</f>
        <v>9600000</v>
      </c>
      <c r="O12" s="57" t="n">
        <f aca="false">IF($N12&lt;&gt;"",$N12*$H12,"")</f>
        <v>192000000</v>
      </c>
      <c r="P12" s="58" t="n">
        <f aca="false">IF($D12&gt;0,($D12*$E12)*0.05,"")</f>
        <v>800000</v>
      </c>
      <c r="Q12" s="58" t="n">
        <f aca="false">IF($P12&lt;&gt;"",$P12+$I12+$J12+$K12,"")</f>
        <v>16800000</v>
      </c>
      <c r="R12" s="59" t="n">
        <f aca="false">IF($O12&lt;&gt;"",$O12+$Q12,"")</f>
        <v>208800000</v>
      </c>
      <c r="S12" s="60" t="n">
        <f aca="false">IF($R12&lt;&gt;"",$R12/1000000000,"")</f>
        <v>0.2088</v>
      </c>
      <c r="T12" s="61" t="n">
        <f aca="false">IF(AND($R12&lt;&gt;"",$L12&gt;0),$R12*$L12,"")</f>
        <v>605520000000</v>
      </c>
      <c r="U12" s="62" t="n">
        <f aca="false">IF($T12&lt;&gt;"",$T12/1000000000000,"")</f>
        <v>0.60552</v>
      </c>
      <c r="V12" s="63" t="n">
        <f aca="false">IF(AND($O12&lt;&gt;"",$Q12&gt;0),$O12/$Q12,"")</f>
        <v>11.4285714285714</v>
      </c>
      <c r="W12" s="64" t="n">
        <f aca="false">IF(AND($R12&lt;&gt;"",$D12&gt;0),$R12/$D12,"")</f>
        <v>10.44</v>
      </c>
      <c r="X12" s="65" t="n">
        <f aca="false">IF(AND($N12&lt;&gt;"",$R12&gt;0),$N12/$R12,"")</f>
        <v>0.0459770114942529</v>
      </c>
      <c r="Y12" s="66" t="n">
        <f aca="false">IF(AND($O12&lt;&gt;"",$R12&gt;0),$O12/$R12,"")</f>
        <v>0.919540229885057</v>
      </c>
      <c r="Z12" s="66" t="n">
        <f aca="false">IF(AND($Q12&lt;&gt;"",$R12&gt;0),$Q12/$R12,"")</f>
        <v>0.0804597701149425</v>
      </c>
    </row>
    <row r="13" customFormat="false" ht="15" hidden="false" customHeight="false" outlineLevel="0" collapsed="false">
      <c r="A13" s="48" t="n">
        <v>10</v>
      </c>
      <c r="B13" s="49" t="s">
        <v>86</v>
      </c>
      <c r="C13" s="50" t="n">
        <v>1850</v>
      </c>
      <c r="D13" s="51" t="n">
        <v>1</v>
      </c>
      <c r="E13" s="52" t="n">
        <v>0.01</v>
      </c>
      <c r="F13" s="53" t="n">
        <v>2</v>
      </c>
      <c r="G13" s="52" t="n">
        <v>0.01</v>
      </c>
      <c r="H13" s="54" t="n">
        <v>1</v>
      </c>
      <c r="I13" s="55" t="n">
        <v>100000000</v>
      </c>
      <c r="J13" s="55" t="n">
        <v>50000000</v>
      </c>
      <c r="K13" s="55" t="n">
        <v>20000000</v>
      </c>
      <c r="L13" s="56" t="n">
        <v>2900</v>
      </c>
      <c r="M13" s="57" t="n">
        <f aca="false">IF($D13&gt;0,$D13*$E13*$F13,"")</f>
        <v>0.02</v>
      </c>
      <c r="N13" s="57" t="n">
        <f aca="false">IF($M13&lt;&gt;"",$M13*$G13,"")</f>
        <v>0.0002</v>
      </c>
      <c r="O13" s="57" t="n">
        <f aca="false">IF($N13&lt;&gt;"",$N13*$H13,"")</f>
        <v>0.0002</v>
      </c>
      <c r="P13" s="58" t="n">
        <f aca="false">IF($D13&gt;0,($D13*$E13)*0.05,"")</f>
        <v>0.0005</v>
      </c>
      <c r="Q13" s="58" t="n">
        <f aca="false">IF($P13&lt;&gt;"",$P13+$I13+$J13+$K13,"")</f>
        <v>170000000.0005</v>
      </c>
      <c r="R13" s="59" t="n">
        <f aca="false">IF($O13&lt;&gt;"",$O13+$Q13,"")</f>
        <v>170000000.0007</v>
      </c>
      <c r="S13" s="60" t="n">
        <f aca="false">IF($R13&lt;&gt;"",$R13/1000000000,"")</f>
        <v>0.1700000000007</v>
      </c>
      <c r="T13" s="61" t="n">
        <f aca="false">IF(AND($R13&lt;&gt;"",$L13&gt;0),$R13*$L13,"")</f>
        <v>493000000002.03</v>
      </c>
      <c r="U13" s="62" t="n">
        <f aca="false">IF($T13&lt;&gt;"",$T13/1000000000000,"")</f>
        <v>0.49300000000203</v>
      </c>
      <c r="V13" s="63" t="n">
        <f aca="false">IF(AND($O13&lt;&gt;"",$Q13&gt;0),$O13/$Q13,"")</f>
        <v>1.17647058823183E-012</v>
      </c>
      <c r="W13" s="64" t="n">
        <f aca="false">IF(AND($R13&lt;&gt;"",$D13&gt;0),$R13/$D13,"")</f>
        <v>170000000.0007</v>
      </c>
      <c r="X13" s="65" t="n">
        <f aca="false">IF(AND($N13&lt;&gt;"",$R13&gt;0),$N13/$R13,"")</f>
        <v>1.17647058823045E-012</v>
      </c>
      <c r="Y13" s="66" t="n">
        <f aca="false">IF(AND($O13&lt;&gt;"",$R13&gt;0),$O13/$R13,"")</f>
        <v>1.17647058823045E-012</v>
      </c>
      <c r="Z13" s="66" t="n">
        <f aca="false">IF(AND($Q13&lt;&gt;"",$R13&gt;0),$Q13/$R13,"")</f>
        <v>0.999999999998824</v>
      </c>
    </row>
    <row r="14" customFormat="false" ht="15" hidden="false" customHeight="false" outlineLevel="0" collapsed="false">
      <c r="A14" s="48" t="n">
        <v>11</v>
      </c>
      <c r="B14" s="49" t="s">
        <v>87</v>
      </c>
      <c r="C14" s="50" t="n">
        <v>1525</v>
      </c>
      <c r="D14" s="51" t="n">
        <v>1</v>
      </c>
      <c r="E14" s="52" t="n">
        <v>0.01</v>
      </c>
      <c r="F14" s="53" t="n">
        <v>2</v>
      </c>
      <c r="G14" s="52" t="n">
        <v>0.01</v>
      </c>
      <c r="H14" s="54" t="n">
        <v>1</v>
      </c>
      <c r="I14" s="55" t="n">
        <v>65000000</v>
      </c>
      <c r="J14" s="55" t="n">
        <v>20000000</v>
      </c>
      <c r="K14" s="55" t="n">
        <v>10000000</v>
      </c>
      <c r="L14" s="56" t="n">
        <v>2900</v>
      </c>
      <c r="M14" s="57" t="n">
        <f aca="false">IF($D14&gt;0,$D14*$E14*$F14,"")</f>
        <v>0.02</v>
      </c>
      <c r="N14" s="57" t="n">
        <f aca="false">IF($M14&lt;&gt;"",$M14*$G14,"")</f>
        <v>0.0002</v>
      </c>
      <c r="O14" s="57" t="n">
        <f aca="false">IF($N14&lt;&gt;"",$N14*$H14,"")</f>
        <v>0.0002</v>
      </c>
      <c r="P14" s="58" t="n">
        <f aca="false">IF($D14&gt;0,($D14*$E14)*0.05,"")</f>
        <v>0.0005</v>
      </c>
      <c r="Q14" s="58" t="n">
        <f aca="false">IF($P14&lt;&gt;"",$P14+$I14+$J14+$K14,"")</f>
        <v>95000000.0005</v>
      </c>
      <c r="R14" s="59" t="n">
        <f aca="false">IF($O14&lt;&gt;"",$O14+$Q14,"")</f>
        <v>95000000.0007</v>
      </c>
      <c r="S14" s="60" t="n">
        <f aca="false">IF($R14&lt;&gt;"",$R14/1000000000,"")</f>
        <v>0.0950000000007</v>
      </c>
      <c r="T14" s="61" t="n">
        <f aca="false">IF(AND($R14&lt;&gt;"",$L14&gt;0),$R14*$L14,"")</f>
        <v>275500000002.03</v>
      </c>
      <c r="U14" s="62" t="n">
        <f aca="false">IF($T14&lt;&gt;"",$T14/1000000000000,"")</f>
        <v>0.27550000000203</v>
      </c>
      <c r="V14" s="63" t="n">
        <f aca="false">IF(AND($O14&lt;&gt;"",$Q14&gt;0),$O14/$Q14,"")</f>
        <v>2.10526315788366E-012</v>
      </c>
      <c r="W14" s="64" t="n">
        <f aca="false">IF(AND($R14&lt;&gt;"",$D14&gt;0),$R14/$D14,"")</f>
        <v>95000000.0007</v>
      </c>
      <c r="X14" s="65" t="n">
        <f aca="false">IF(AND($N14&lt;&gt;"",$R14&gt;0),$N14/$R14,"")</f>
        <v>2.10526315787922E-012</v>
      </c>
      <c r="Y14" s="66" t="n">
        <f aca="false">IF(AND($O14&lt;&gt;"",$R14&gt;0),$O14/$R14,"")</f>
        <v>2.10526315787922E-012</v>
      </c>
      <c r="Z14" s="66" t="n">
        <f aca="false">IF(AND($Q14&lt;&gt;"",$R14&gt;0),$Q14/$R14,"")</f>
        <v>0.999999999997895</v>
      </c>
    </row>
    <row r="15" customFormat="false" ht="15" hidden="false" customHeight="false" outlineLevel="0" collapsed="false">
      <c r="A15" s="48" t="n">
        <v>12</v>
      </c>
      <c r="B15" s="49" t="s">
        <v>88</v>
      </c>
      <c r="C15" s="50" t="n">
        <v>1519</v>
      </c>
      <c r="D15" s="51" t="n">
        <v>15000000</v>
      </c>
      <c r="E15" s="52" t="n">
        <v>0.5</v>
      </c>
      <c r="F15" s="53" t="n">
        <v>3</v>
      </c>
      <c r="G15" s="52" t="n">
        <v>0.2</v>
      </c>
      <c r="H15" s="54" t="n">
        <v>5</v>
      </c>
      <c r="I15" s="55" t="n">
        <v>1000000</v>
      </c>
      <c r="J15" s="55" t="n">
        <v>500000</v>
      </c>
      <c r="K15" s="55" t="n">
        <v>0</v>
      </c>
      <c r="L15" s="56" t="n">
        <v>2900</v>
      </c>
      <c r="M15" s="57" t="n">
        <f aca="false">IF($D15&gt;0,$D15*$E15*$F15,"")</f>
        <v>22500000</v>
      </c>
      <c r="N15" s="57" t="n">
        <f aca="false">IF($M15&lt;&gt;"",$M15*$G15,"")</f>
        <v>4500000</v>
      </c>
      <c r="O15" s="57" t="n">
        <f aca="false">IF($N15&lt;&gt;"",$N15*$H15,"")</f>
        <v>22500000</v>
      </c>
      <c r="P15" s="58" t="n">
        <f aca="false">IF($D15&gt;0,($D15*$E15)*0.05,"")</f>
        <v>375000</v>
      </c>
      <c r="Q15" s="58" t="n">
        <f aca="false">IF($P15&lt;&gt;"",$P15+$I15+$J15+$K15,"")</f>
        <v>1875000</v>
      </c>
      <c r="R15" s="59" t="n">
        <f aca="false">IF($O15&lt;&gt;"",$O15+$Q15,"")</f>
        <v>24375000</v>
      </c>
      <c r="S15" s="60" t="n">
        <f aca="false">IF($R15&lt;&gt;"",$R15/1000000000,"")</f>
        <v>0.024375</v>
      </c>
      <c r="T15" s="61" t="n">
        <f aca="false">IF(AND($R15&lt;&gt;"",$L15&gt;0),$R15*$L15,"")</f>
        <v>70687500000</v>
      </c>
      <c r="U15" s="62" t="n">
        <f aca="false">IF($T15&lt;&gt;"",$T15/1000000000000,"")</f>
        <v>0.0706875</v>
      </c>
      <c r="V15" s="63" t="n">
        <f aca="false">IF(AND($O15&lt;&gt;"",$Q15&gt;0),$O15/$Q15,"")</f>
        <v>12</v>
      </c>
      <c r="W15" s="64" t="n">
        <f aca="false">IF(AND($R15&lt;&gt;"",$D15&gt;0),$R15/$D15,"")</f>
        <v>1.625</v>
      </c>
      <c r="X15" s="65" t="n">
        <f aca="false">IF(AND($N15&lt;&gt;"",$R15&gt;0),$N15/$R15,"")</f>
        <v>0.184615384615385</v>
      </c>
      <c r="Y15" s="66" t="n">
        <f aca="false">IF(AND($O15&lt;&gt;"",$R15&gt;0),$O15/$R15,"")</f>
        <v>0.923076923076923</v>
      </c>
      <c r="Z15" s="66" t="n">
        <f aca="false">IF(AND($Q15&lt;&gt;"",$R15&gt;0),$Q15/$R15,"")</f>
        <v>0.0769230769230769</v>
      </c>
    </row>
    <row r="16" customFormat="false" ht="15" hidden="false" customHeight="false" outlineLevel="0" collapsed="false">
      <c r="A16" s="48" t="n">
        <v>13</v>
      </c>
      <c r="B16" s="49" t="s">
        <v>89</v>
      </c>
      <c r="C16" s="50" t="n">
        <v>1532</v>
      </c>
      <c r="D16" s="51" t="n">
        <v>12000000</v>
      </c>
      <c r="E16" s="52" t="n">
        <v>0.4</v>
      </c>
      <c r="F16" s="53" t="n">
        <v>2.5</v>
      </c>
      <c r="G16" s="52" t="n">
        <v>0.25</v>
      </c>
      <c r="H16" s="54" t="n">
        <v>5</v>
      </c>
      <c r="I16" s="55" t="n">
        <v>3000000</v>
      </c>
      <c r="J16" s="55" t="n">
        <v>2000000</v>
      </c>
      <c r="K16" s="55" t="n">
        <v>0</v>
      </c>
      <c r="L16" s="56" t="n">
        <v>2900</v>
      </c>
      <c r="M16" s="57" t="n">
        <f aca="false">IF($D16&gt;0,$D16*$E16*$F16,"")</f>
        <v>12000000</v>
      </c>
      <c r="N16" s="57" t="n">
        <f aca="false">IF($M16&lt;&gt;"",$M16*$G16,"")</f>
        <v>3000000</v>
      </c>
      <c r="O16" s="57" t="n">
        <f aca="false">IF($N16&lt;&gt;"",$N16*$H16,"")</f>
        <v>15000000</v>
      </c>
      <c r="P16" s="58" t="n">
        <f aca="false">IF($D16&gt;0,($D16*$E16)*0.05,"")</f>
        <v>240000</v>
      </c>
      <c r="Q16" s="58" t="n">
        <f aca="false">IF($P16&lt;&gt;"",$P16+$I16+$J16+$K16,"")</f>
        <v>5240000</v>
      </c>
      <c r="R16" s="59" t="n">
        <f aca="false">IF($O16&lt;&gt;"",$O16+$Q16,"")</f>
        <v>20240000</v>
      </c>
      <c r="S16" s="60" t="n">
        <f aca="false">IF($R16&lt;&gt;"",$R16/1000000000,"")</f>
        <v>0.02024</v>
      </c>
      <c r="T16" s="61" t="n">
        <f aca="false">IF(AND($R16&lt;&gt;"",$L16&gt;0),$R16*$L16,"")</f>
        <v>58696000000</v>
      </c>
      <c r="U16" s="62" t="n">
        <f aca="false">IF($T16&lt;&gt;"",$T16/1000000000000,"")</f>
        <v>0.058696</v>
      </c>
      <c r="V16" s="63" t="n">
        <f aca="false">IF(AND($O16&lt;&gt;"",$Q16&gt;0),$O16/$Q16,"")</f>
        <v>2.86259541984733</v>
      </c>
      <c r="W16" s="64" t="n">
        <f aca="false">IF(AND($R16&lt;&gt;"",$D16&gt;0),$R16/$D16,"")</f>
        <v>1.68666666666667</v>
      </c>
      <c r="X16" s="65" t="n">
        <f aca="false">IF(AND($N16&lt;&gt;"",$R16&gt;0),$N16/$R16,"")</f>
        <v>0.148221343873518</v>
      </c>
      <c r="Y16" s="66" t="n">
        <f aca="false">IF(AND($O16&lt;&gt;"",$R16&gt;0),$O16/$R16,"")</f>
        <v>0.741106719367589</v>
      </c>
      <c r="Z16" s="66" t="n">
        <f aca="false">IF(AND($Q16&lt;&gt;"",$R16&gt;0),$Q16/$R16,"")</f>
        <v>0.258893280632411</v>
      </c>
    </row>
    <row r="17" customFormat="false" ht="15" hidden="false" customHeight="false" outlineLevel="0" collapsed="false">
      <c r="A17" s="48" t="n">
        <v>14</v>
      </c>
      <c r="B17" s="49" t="s">
        <v>90</v>
      </c>
      <c r="C17" s="50" t="n">
        <v>-950</v>
      </c>
      <c r="D17" s="51" t="n">
        <v>400000</v>
      </c>
      <c r="E17" s="52" t="n">
        <v>0.6</v>
      </c>
      <c r="F17" s="53" t="n">
        <v>3</v>
      </c>
      <c r="G17" s="52" t="n">
        <v>0.25</v>
      </c>
      <c r="H17" s="54" t="n">
        <v>10</v>
      </c>
      <c r="I17" s="55" t="n">
        <v>10000000</v>
      </c>
      <c r="J17" s="55" t="n">
        <v>5000000</v>
      </c>
      <c r="K17" s="55" t="n">
        <v>0</v>
      </c>
      <c r="L17" s="56" t="n">
        <v>2900</v>
      </c>
      <c r="M17" s="57" t="n">
        <f aca="false">IF($D17&gt;0,$D17*$E17*$F17,"")</f>
        <v>720000</v>
      </c>
      <c r="N17" s="57" t="n">
        <f aca="false">IF($M17&lt;&gt;"",$M17*$G17,"")</f>
        <v>180000</v>
      </c>
      <c r="O17" s="57" t="n">
        <f aca="false">IF($N17&lt;&gt;"",$N17*$H17,"")</f>
        <v>1800000</v>
      </c>
      <c r="P17" s="58" t="n">
        <f aca="false">IF($D17&gt;0,($D17*$E17)*0.05,"")</f>
        <v>12000</v>
      </c>
      <c r="Q17" s="58" t="n">
        <f aca="false">IF($P17&lt;&gt;"",$P17+$I17+$J17+$K17,"")</f>
        <v>15012000</v>
      </c>
      <c r="R17" s="59" t="n">
        <f aca="false">IF($O17&lt;&gt;"",$O17+$Q17,"")</f>
        <v>16812000</v>
      </c>
      <c r="S17" s="60" t="n">
        <f aca="false">IF($R17&lt;&gt;"",$R17/1000000000,"")</f>
        <v>0.016812</v>
      </c>
      <c r="T17" s="61" t="n">
        <f aca="false">IF(AND($R17&lt;&gt;"",$L17&gt;0),$R17*$L17,"")</f>
        <v>48754800000</v>
      </c>
      <c r="U17" s="62" t="n">
        <f aca="false">IF($T17&lt;&gt;"",$T17/1000000000000,"")</f>
        <v>0.0487548</v>
      </c>
      <c r="V17" s="63" t="n">
        <f aca="false">IF(AND($O17&lt;&gt;"",$Q17&gt;0),$O17/$Q17,"")</f>
        <v>0.119904076738609</v>
      </c>
      <c r="W17" s="64" t="n">
        <f aca="false">IF(AND($R17&lt;&gt;"",$D17&gt;0),$R17/$D17,"")</f>
        <v>42.03</v>
      </c>
      <c r="X17" s="65" t="n">
        <f aca="false">IF(AND($N17&lt;&gt;"",$R17&gt;0),$N17/$R17,"")</f>
        <v>0.0107066381156317</v>
      </c>
      <c r="Y17" s="66" t="n">
        <f aca="false">IF(AND($O17&lt;&gt;"",$R17&gt;0),$O17/$R17,"")</f>
        <v>0.107066381156317</v>
      </c>
      <c r="Z17" s="66" t="n">
        <f aca="false">IF(AND($Q17&lt;&gt;"",$R17&gt;0),$Q17/$R17,"")</f>
        <v>0.892933618843683</v>
      </c>
    </row>
    <row r="18" customFormat="false" ht="15" hidden="false" customHeight="false" outlineLevel="0" collapsed="false">
      <c r="A18" s="48" t="n">
        <v>15</v>
      </c>
      <c r="B18" s="49" t="s">
        <v>91</v>
      </c>
      <c r="C18" s="50" t="n">
        <v>1086</v>
      </c>
      <c r="D18" s="51" t="n">
        <v>2000000</v>
      </c>
      <c r="E18" s="52" t="n">
        <v>0.6</v>
      </c>
      <c r="F18" s="53" t="n">
        <v>2.5</v>
      </c>
      <c r="G18" s="52" t="n">
        <v>0.15</v>
      </c>
      <c r="H18" s="54" t="n">
        <v>15</v>
      </c>
      <c r="I18" s="55" t="n">
        <v>500000</v>
      </c>
      <c r="J18" s="55" t="n">
        <v>2000000</v>
      </c>
      <c r="K18" s="55" t="n">
        <v>1000000</v>
      </c>
      <c r="L18" s="56" t="n">
        <v>2900</v>
      </c>
      <c r="M18" s="57" t="n">
        <f aca="false">IF($D18&gt;0,$D18*$E18*$F18,"")</f>
        <v>3000000</v>
      </c>
      <c r="N18" s="57" t="n">
        <f aca="false">IF($M18&lt;&gt;"",$M18*$G18,"")</f>
        <v>450000</v>
      </c>
      <c r="O18" s="57" t="n">
        <f aca="false">IF($N18&lt;&gt;"",$N18*$H18,"")</f>
        <v>6750000</v>
      </c>
      <c r="P18" s="58" t="n">
        <f aca="false">IF($D18&gt;0,($D18*$E18)*0.05,"")</f>
        <v>60000</v>
      </c>
      <c r="Q18" s="58" t="n">
        <f aca="false">IF($P18&lt;&gt;"",$P18+$I18+$J18+$K18,"")</f>
        <v>3560000</v>
      </c>
      <c r="R18" s="59" t="n">
        <f aca="false">IF($O18&lt;&gt;"",$O18+$Q18,"")</f>
        <v>10310000</v>
      </c>
      <c r="S18" s="60" t="n">
        <f aca="false">IF($R18&lt;&gt;"",$R18/1000000000,"")</f>
        <v>0.01031</v>
      </c>
      <c r="T18" s="61" t="n">
        <f aca="false">IF(AND($R18&lt;&gt;"",$L18&gt;0),$R18*$L18,"")</f>
        <v>29899000000</v>
      </c>
      <c r="U18" s="62" t="n">
        <f aca="false">IF($T18&lt;&gt;"",$T18/1000000000000,"")</f>
        <v>0.029899</v>
      </c>
      <c r="V18" s="63" t="n">
        <f aca="false">IF(AND($O18&lt;&gt;"",$Q18&gt;0),$O18/$Q18,"")</f>
        <v>1.89606741573034</v>
      </c>
      <c r="W18" s="64" t="n">
        <f aca="false">IF(AND($R18&lt;&gt;"",$D18&gt;0),$R18/$D18,"")</f>
        <v>5.155</v>
      </c>
      <c r="X18" s="65" t="n">
        <f aca="false">IF(AND($N18&lt;&gt;"",$R18&gt;0),$N18/$R18,"")</f>
        <v>0.04364694471387</v>
      </c>
      <c r="Y18" s="66" t="n">
        <f aca="false">IF(AND($O18&lt;&gt;"",$R18&gt;0),$O18/$R18,"")</f>
        <v>0.65470417070805</v>
      </c>
      <c r="Z18" s="66" t="n">
        <f aca="false">IF(AND($Q18&lt;&gt;"",$R18&gt;0),$Q18/$R18,"")</f>
        <v>0.34529582929195</v>
      </c>
    </row>
    <row r="19" customFormat="false" ht="15" hidden="false" customHeight="false" outlineLevel="0" collapsed="false">
      <c r="A19" s="48" t="n">
        <v>16</v>
      </c>
      <c r="B19" s="49" t="s">
        <v>92</v>
      </c>
      <c r="C19" s="50" t="n">
        <v>1848</v>
      </c>
      <c r="D19" s="51" t="n">
        <v>1</v>
      </c>
      <c r="E19" s="52" t="n">
        <v>0.01</v>
      </c>
      <c r="F19" s="53" t="n">
        <v>2</v>
      </c>
      <c r="G19" s="52" t="n">
        <v>0.01</v>
      </c>
      <c r="H19" s="54" t="n">
        <v>1</v>
      </c>
      <c r="I19" s="55" t="n">
        <v>1500000</v>
      </c>
      <c r="J19" s="55" t="n">
        <v>1000000</v>
      </c>
      <c r="K19" s="55" t="n">
        <v>0</v>
      </c>
      <c r="L19" s="56" t="n">
        <v>2900</v>
      </c>
      <c r="M19" s="57" t="n">
        <f aca="false">IF($D19&gt;0,$D19*$E19*$F19,"")</f>
        <v>0.02</v>
      </c>
      <c r="N19" s="57" t="n">
        <f aca="false">IF($M19&lt;&gt;"",$M19*$G19,"")</f>
        <v>0.0002</v>
      </c>
      <c r="O19" s="57" t="n">
        <f aca="false">IF($N19&lt;&gt;"",$N19*$H19,"")</f>
        <v>0.0002</v>
      </c>
      <c r="P19" s="58" t="n">
        <f aca="false">IF($D19&gt;0,($D19*$E19)*0.05,"")</f>
        <v>0.0005</v>
      </c>
      <c r="Q19" s="58" t="n">
        <f aca="false">IF($P19&lt;&gt;"",$P19+$I19+$J19+$K19,"")</f>
        <v>2500000.0005</v>
      </c>
      <c r="R19" s="59" t="n">
        <f aca="false">IF($O19&lt;&gt;"",$O19+$Q19,"")</f>
        <v>2500000.0007</v>
      </c>
      <c r="S19" s="60" t="n">
        <f aca="false">IF($R19&lt;&gt;"",$R19/1000000000,"")</f>
        <v>0.0025000000007</v>
      </c>
      <c r="T19" s="61" t="n">
        <f aca="false">IF(AND($R19&lt;&gt;"",$L19&gt;0),$R19*$L19,"")</f>
        <v>7250000002.03</v>
      </c>
      <c r="U19" s="62" t="n">
        <f aca="false">IF($T19&lt;&gt;"",$T19/1000000000000,"")</f>
        <v>0.00725000000203</v>
      </c>
      <c r="V19" s="63" t="n">
        <f aca="false">IF(AND($O19&lt;&gt;"",$Q19&gt;0),$O19/$Q19,"")</f>
        <v>7.9999999984E-011</v>
      </c>
      <c r="W19" s="64" t="n">
        <f aca="false">IF(AND($R19&lt;&gt;"",$D19&gt;0),$R19/$D19,"")</f>
        <v>2500000.0007</v>
      </c>
      <c r="X19" s="65" t="n">
        <f aca="false">IF(AND($N19&lt;&gt;"",$R19&gt;0),$N19/$R19,"")</f>
        <v>7.99999999776E-011</v>
      </c>
      <c r="Y19" s="66" t="n">
        <f aca="false">IF(AND($O19&lt;&gt;"",$R19&gt;0),$O19/$R19,"")</f>
        <v>7.99999999776E-011</v>
      </c>
      <c r="Z19" s="66" t="n">
        <f aca="false">IF(AND($Q19&lt;&gt;"",$R19&gt;0),$Q19/$R19,"")</f>
        <v>0.99999999992</v>
      </c>
    </row>
    <row r="20" customFormat="false" ht="15" hidden="false" customHeight="false" outlineLevel="0" collapsed="false">
      <c r="A20" s="48" t="n">
        <v>17</v>
      </c>
      <c r="B20" s="49"/>
      <c r="C20" s="50"/>
      <c r="D20" s="51"/>
      <c r="E20" s="52"/>
      <c r="F20" s="53"/>
      <c r="G20" s="52"/>
      <c r="H20" s="54"/>
      <c r="I20" s="55"/>
      <c r="J20" s="55"/>
      <c r="K20" s="55"/>
      <c r="L20" s="56"/>
      <c r="M20" s="57" t="str">
        <f aca="false">IF($D20&gt;0,$D20*$E20*$F20,"")</f>
        <v/>
      </c>
      <c r="N20" s="57" t="str">
        <f aca="false">IF($M20&lt;&gt;"",$M20*$G20,"")</f>
        <v/>
      </c>
      <c r="O20" s="57" t="str">
        <f aca="false">IF($N20&lt;&gt;"",$N20*$H20,"")</f>
        <v/>
      </c>
      <c r="P20" s="58" t="str">
        <f aca="false">IF($D20&gt;0,($D20*$E20)*0.05,"")</f>
        <v/>
      </c>
      <c r="Q20" s="58" t="str">
        <f aca="false">IF($P20&lt;&gt;"",$P20+$I20+$J20+$K20,"")</f>
        <v/>
      </c>
      <c r="R20" s="59" t="str">
        <f aca="false">IF($O20&lt;&gt;"",$O20+$Q20,"")</f>
        <v/>
      </c>
      <c r="S20" s="60" t="str">
        <f aca="false">IF($R20&lt;&gt;"",$R20/1000000000,"")</f>
        <v/>
      </c>
      <c r="T20" s="61" t="str">
        <f aca="false">IF(AND($R20&lt;&gt;"",$L20&gt;0),$R20*$L20,"")</f>
        <v/>
      </c>
      <c r="U20" s="62" t="str">
        <f aca="false">IF($T20&lt;&gt;"",$T20/1000000000000,"")</f>
        <v/>
      </c>
      <c r="V20" s="63" t="str">
        <f aca="false">IF(AND($O20&lt;&gt;"",$Q20&gt;0),$O20/$Q20,"")</f>
        <v/>
      </c>
      <c r="W20" s="64" t="str">
        <f aca="false">IF(AND($R20&lt;&gt;"",$D20&gt;0),$R20/$D20,"")</f>
        <v/>
      </c>
      <c r="X20" s="65" t="str">
        <f aca="false">IF(AND($N20&lt;&gt;"",$R20&gt;0),$N20/$R20,"")</f>
        <v/>
      </c>
      <c r="Y20" s="66" t="str">
        <f aca="false">IF(AND($O20&lt;&gt;"",$R20&gt;0),$O20/$R20,"")</f>
        <v/>
      </c>
      <c r="Z20" s="66" t="str">
        <f aca="false">IF(AND($Q20&lt;&gt;"",$R20&gt;0),$Q20/$R20,"")</f>
        <v/>
      </c>
    </row>
    <row r="21" customFormat="false" ht="15" hidden="false" customHeight="false" outlineLevel="0" collapsed="false">
      <c r="A21" s="48" t="n">
        <v>18</v>
      </c>
      <c r="B21" s="49"/>
      <c r="C21" s="50"/>
      <c r="D21" s="51"/>
      <c r="E21" s="52"/>
      <c r="F21" s="53"/>
      <c r="G21" s="52"/>
      <c r="H21" s="54"/>
      <c r="I21" s="55"/>
      <c r="J21" s="55"/>
      <c r="K21" s="55"/>
      <c r="L21" s="56"/>
      <c r="M21" s="57" t="str">
        <f aca="false">IF($D21&gt;0,$D21*$E21*$F21,"")</f>
        <v/>
      </c>
      <c r="N21" s="57" t="str">
        <f aca="false">IF($M21&lt;&gt;"",$M21*$G21,"")</f>
        <v/>
      </c>
      <c r="O21" s="57" t="str">
        <f aca="false">IF($N21&lt;&gt;"",$N21*$H21,"")</f>
        <v/>
      </c>
      <c r="P21" s="58" t="str">
        <f aca="false">IF($D21&gt;0,($D21*$E21)*0.05,"")</f>
        <v/>
      </c>
      <c r="Q21" s="58" t="str">
        <f aca="false">IF($P21&lt;&gt;"",$P21+$I21+$J21+$K21,"")</f>
        <v/>
      </c>
      <c r="R21" s="59" t="str">
        <f aca="false">IF($O21&lt;&gt;"",$O21+$Q21,"")</f>
        <v/>
      </c>
      <c r="S21" s="60" t="str">
        <f aca="false">IF($R21&lt;&gt;"",$R21/1000000000,"")</f>
        <v/>
      </c>
      <c r="T21" s="61" t="str">
        <f aca="false">IF(AND($R21&lt;&gt;"",$L21&gt;0),$R21*$L21,"")</f>
        <v/>
      </c>
      <c r="U21" s="62" t="str">
        <f aca="false">IF($T21&lt;&gt;"",$T21/1000000000000,"")</f>
        <v/>
      </c>
      <c r="V21" s="63" t="str">
        <f aca="false">IF(AND($O21&lt;&gt;"",$Q21&gt;0),$O21/$Q21,"")</f>
        <v/>
      </c>
      <c r="W21" s="64" t="str">
        <f aca="false">IF(AND($R21&lt;&gt;"",$D21&gt;0),$R21/$D21,"")</f>
        <v/>
      </c>
      <c r="X21" s="65" t="str">
        <f aca="false">IF(AND($N21&lt;&gt;"",$R21&gt;0),$N21/$R21,"")</f>
        <v/>
      </c>
      <c r="Y21" s="66" t="str">
        <f aca="false">IF(AND($O21&lt;&gt;"",$R21&gt;0),$O21/$R21,"")</f>
        <v/>
      </c>
      <c r="Z21" s="66" t="str">
        <f aca="false">IF(AND($Q21&lt;&gt;"",$R21&gt;0),$Q21/$R21,"")</f>
        <v/>
      </c>
    </row>
    <row r="22" customFormat="false" ht="15" hidden="false" customHeight="false" outlineLevel="0" collapsed="false">
      <c r="A22" s="48" t="n">
        <v>19</v>
      </c>
      <c r="B22" s="49"/>
      <c r="C22" s="50"/>
      <c r="D22" s="51"/>
      <c r="E22" s="52"/>
      <c r="F22" s="53"/>
      <c r="G22" s="52"/>
      <c r="H22" s="54"/>
      <c r="I22" s="55"/>
      <c r="J22" s="55"/>
      <c r="K22" s="55"/>
      <c r="L22" s="56"/>
      <c r="M22" s="57" t="str">
        <f aca="false">IF($D22&gt;0,$D22*$E22*$F22,"")</f>
        <v/>
      </c>
      <c r="N22" s="57" t="str">
        <f aca="false">IF($M22&lt;&gt;"",$M22*$G22,"")</f>
        <v/>
      </c>
      <c r="O22" s="57" t="str">
        <f aca="false">IF($N22&lt;&gt;"",$N22*$H22,"")</f>
        <v/>
      </c>
      <c r="P22" s="58" t="str">
        <f aca="false">IF($D22&gt;0,($D22*$E22)*0.05,"")</f>
        <v/>
      </c>
      <c r="Q22" s="58" t="str">
        <f aca="false">IF($P22&lt;&gt;"",$P22+$I22+$J22+$K22,"")</f>
        <v/>
      </c>
      <c r="R22" s="59" t="str">
        <f aca="false">IF($O22&lt;&gt;"",$O22+$Q22,"")</f>
        <v/>
      </c>
      <c r="S22" s="60" t="str">
        <f aca="false">IF($R22&lt;&gt;"",$R22/1000000000,"")</f>
        <v/>
      </c>
      <c r="T22" s="61" t="str">
        <f aca="false">IF(AND($R22&lt;&gt;"",$L22&gt;0),$R22*$L22,"")</f>
        <v/>
      </c>
      <c r="U22" s="62" t="str">
        <f aca="false">IF($T22&lt;&gt;"",$T22/1000000000000,"")</f>
        <v/>
      </c>
      <c r="V22" s="63" t="str">
        <f aca="false">IF(AND($O22&lt;&gt;"",$Q22&gt;0),$O22/$Q22,"")</f>
        <v/>
      </c>
      <c r="W22" s="64" t="str">
        <f aca="false">IF(AND($R22&lt;&gt;"",$D22&gt;0),$R22/$D22,"")</f>
        <v/>
      </c>
      <c r="X22" s="65" t="str">
        <f aca="false">IF(AND($N22&lt;&gt;"",$R22&gt;0),$N22/$R22,"")</f>
        <v/>
      </c>
      <c r="Y22" s="66" t="str">
        <f aca="false">IF(AND($O22&lt;&gt;"",$R22&gt;0),$O22/$R22,"")</f>
        <v/>
      </c>
      <c r="Z22" s="66" t="str">
        <f aca="false">IF(AND($Q22&lt;&gt;"",$R22&gt;0),$Q22/$R22,"")</f>
        <v/>
      </c>
    </row>
    <row r="23" customFormat="false" ht="15" hidden="false" customHeight="false" outlineLevel="0" collapsed="false">
      <c r="A23" s="48" t="n">
        <v>20</v>
      </c>
      <c r="B23" s="49"/>
      <c r="C23" s="50"/>
      <c r="D23" s="51"/>
      <c r="E23" s="52"/>
      <c r="F23" s="53"/>
      <c r="G23" s="52"/>
      <c r="H23" s="54"/>
      <c r="I23" s="55"/>
      <c r="J23" s="55"/>
      <c r="K23" s="55"/>
      <c r="L23" s="56"/>
      <c r="M23" s="57" t="str">
        <f aca="false">IF($D23&gt;0,$D23*$E23*$F23,"")</f>
        <v/>
      </c>
      <c r="N23" s="57" t="str">
        <f aca="false">IF($M23&lt;&gt;"",$M23*$G23,"")</f>
        <v/>
      </c>
      <c r="O23" s="57" t="str">
        <f aca="false">IF($N23&lt;&gt;"",$N23*$H23,"")</f>
        <v/>
      </c>
      <c r="P23" s="58" t="str">
        <f aca="false">IF($D23&gt;0,($D23*$E23)*0.05,"")</f>
        <v/>
      </c>
      <c r="Q23" s="58" t="str">
        <f aca="false">IF($P23&lt;&gt;"",$P23+$I23+$J23+$K23,"")</f>
        <v/>
      </c>
      <c r="R23" s="59" t="str">
        <f aca="false">IF($O23&lt;&gt;"",$O23+$Q23,"")</f>
        <v/>
      </c>
      <c r="S23" s="60" t="str">
        <f aca="false">IF($R23&lt;&gt;"",$R23/1000000000,"")</f>
        <v/>
      </c>
      <c r="T23" s="61" t="str">
        <f aca="false">IF(AND($R23&lt;&gt;"",$L23&gt;0),$R23*$L23,"")</f>
        <v/>
      </c>
      <c r="U23" s="62" t="str">
        <f aca="false">IF($T23&lt;&gt;"",$T23/1000000000000,"")</f>
        <v/>
      </c>
      <c r="V23" s="63" t="str">
        <f aca="false">IF(AND($O23&lt;&gt;"",$Q23&gt;0),$O23/$Q23,"")</f>
        <v/>
      </c>
      <c r="W23" s="64" t="str">
        <f aca="false">IF(AND($R23&lt;&gt;"",$D23&gt;0),$R23/$D23,"")</f>
        <v/>
      </c>
      <c r="X23" s="65" t="str">
        <f aca="false">IF(AND($N23&lt;&gt;"",$R23&gt;0),$N23/$R23,"")</f>
        <v/>
      </c>
      <c r="Y23" s="66" t="str">
        <f aca="false">IF(AND($O23&lt;&gt;"",$R23&gt;0),$O23/$R23,"")</f>
        <v/>
      </c>
      <c r="Z23" s="66" t="str">
        <f aca="false">IF(AND($Q23&lt;&gt;"",$R23&gt;0),$Q23/$R23,"")</f>
        <v/>
      </c>
    </row>
    <row r="24" customFormat="false" ht="15" hidden="false" customHeight="false" outlineLevel="0" collapsed="false">
      <c r="A24" s="48" t="n">
        <v>21</v>
      </c>
      <c r="B24" s="49"/>
      <c r="C24" s="50"/>
      <c r="D24" s="51"/>
      <c r="E24" s="52"/>
      <c r="F24" s="53"/>
      <c r="G24" s="52"/>
      <c r="H24" s="54"/>
      <c r="I24" s="55"/>
      <c r="J24" s="55"/>
      <c r="K24" s="55"/>
      <c r="L24" s="56"/>
      <c r="M24" s="57" t="str">
        <f aca="false">IF($D24&gt;0,$D24*$E24*$F24,"")</f>
        <v/>
      </c>
      <c r="N24" s="57" t="str">
        <f aca="false">IF($M24&lt;&gt;"",$M24*$G24,"")</f>
        <v/>
      </c>
      <c r="O24" s="57" t="str">
        <f aca="false">IF($N24&lt;&gt;"",$N24*$H24,"")</f>
        <v/>
      </c>
      <c r="P24" s="58" t="str">
        <f aca="false">IF($D24&gt;0,($D24*$E24)*0.05,"")</f>
        <v/>
      </c>
      <c r="Q24" s="58" t="str">
        <f aca="false">IF($P24&lt;&gt;"",$P24+$I24+$J24+$K24,"")</f>
        <v/>
      </c>
      <c r="R24" s="59" t="str">
        <f aca="false">IF($O24&lt;&gt;"",$O24+$Q24,"")</f>
        <v/>
      </c>
      <c r="S24" s="60" t="str">
        <f aca="false">IF($R24&lt;&gt;"",$R24/1000000000,"")</f>
        <v/>
      </c>
      <c r="T24" s="61" t="str">
        <f aca="false">IF(AND($R24&lt;&gt;"",$L24&gt;0),$R24*$L24,"")</f>
        <v/>
      </c>
      <c r="U24" s="62" t="str">
        <f aca="false">IF($T24&lt;&gt;"",$T24/1000000000000,"")</f>
        <v/>
      </c>
      <c r="V24" s="63" t="str">
        <f aca="false">IF(AND($O24&lt;&gt;"",$Q24&gt;0),$O24/$Q24,"")</f>
        <v/>
      </c>
      <c r="W24" s="64" t="str">
        <f aca="false">IF(AND($R24&lt;&gt;"",$D24&gt;0),$R24/$D24,"")</f>
        <v/>
      </c>
      <c r="X24" s="65" t="str">
        <f aca="false">IF(AND($N24&lt;&gt;"",$R24&gt;0),$N24/$R24,"")</f>
        <v/>
      </c>
      <c r="Y24" s="66" t="str">
        <f aca="false">IF(AND($O24&lt;&gt;"",$R24&gt;0),$O24/$R24,"")</f>
        <v/>
      </c>
      <c r="Z24" s="66" t="str">
        <f aca="false">IF(AND($Q24&lt;&gt;"",$R24&gt;0),$Q24/$R24,"")</f>
        <v/>
      </c>
    </row>
    <row r="25" customFormat="false" ht="15" hidden="false" customHeight="false" outlineLevel="0" collapsed="false">
      <c r="A25" s="48" t="n">
        <v>22</v>
      </c>
      <c r="B25" s="49"/>
      <c r="C25" s="50"/>
      <c r="D25" s="51"/>
      <c r="E25" s="52"/>
      <c r="F25" s="53"/>
      <c r="G25" s="52"/>
      <c r="H25" s="54"/>
      <c r="I25" s="55"/>
      <c r="J25" s="55"/>
      <c r="K25" s="55"/>
      <c r="L25" s="56"/>
      <c r="M25" s="57" t="str">
        <f aca="false">IF($D25&gt;0,$D25*$E25*$F25,"")</f>
        <v/>
      </c>
      <c r="N25" s="57" t="str">
        <f aca="false">IF($M25&lt;&gt;"",$M25*$G25,"")</f>
        <v/>
      </c>
      <c r="O25" s="57" t="str">
        <f aca="false">IF($N25&lt;&gt;"",$N25*$H25,"")</f>
        <v/>
      </c>
      <c r="P25" s="58" t="str">
        <f aca="false">IF($D25&gt;0,($D25*$E25)*0.05,"")</f>
        <v/>
      </c>
      <c r="Q25" s="58" t="str">
        <f aca="false">IF($P25&lt;&gt;"",$P25+$I25+$J25+$K25,"")</f>
        <v/>
      </c>
      <c r="R25" s="59" t="str">
        <f aca="false">IF($O25&lt;&gt;"",$O25+$Q25,"")</f>
        <v/>
      </c>
      <c r="S25" s="60" t="str">
        <f aca="false">IF($R25&lt;&gt;"",$R25/1000000000,"")</f>
        <v/>
      </c>
      <c r="T25" s="61" t="str">
        <f aca="false">IF(AND($R25&lt;&gt;"",$L25&gt;0),$R25*$L25,"")</f>
        <v/>
      </c>
      <c r="U25" s="62" t="str">
        <f aca="false">IF($T25&lt;&gt;"",$T25/1000000000000,"")</f>
        <v/>
      </c>
      <c r="V25" s="63" t="str">
        <f aca="false">IF(AND($O25&lt;&gt;"",$Q25&gt;0),$O25/$Q25,"")</f>
        <v/>
      </c>
      <c r="W25" s="64" t="str">
        <f aca="false">IF(AND($R25&lt;&gt;"",$D25&gt;0),$R25/$D25,"")</f>
        <v/>
      </c>
      <c r="X25" s="65" t="str">
        <f aca="false">IF(AND($N25&lt;&gt;"",$R25&gt;0),$N25/$R25,"")</f>
        <v/>
      </c>
      <c r="Y25" s="66" t="str">
        <f aca="false">IF(AND($O25&lt;&gt;"",$R25&gt;0),$O25/$R25,"")</f>
        <v/>
      </c>
      <c r="Z25" s="66" t="str">
        <f aca="false">IF(AND($Q25&lt;&gt;"",$R25&gt;0),$Q25/$R25,"")</f>
        <v/>
      </c>
    </row>
    <row r="26" customFormat="false" ht="15" hidden="false" customHeight="false" outlineLevel="0" collapsed="false">
      <c r="A26" s="48" t="n">
        <v>23</v>
      </c>
      <c r="B26" s="49"/>
      <c r="C26" s="50"/>
      <c r="D26" s="51"/>
      <c r="E26" s="52"/>
      <c r="F26" s="53"/>
      <c r="G26" s="52"/>
      <c r="H26" s="54"/>
      <c r="I26" s="55"/>
      <c r="J26" s="55"/>
      <c r="K26" s="55"/>
      <c r="L26" s="56"/>
      <c r="M26" s="57" t="str">
        <f aca="false">IF($D26&gt;0,$D26*$E26*$F26,"")</f>
        <v/>
      </c>
      <c r="N26" s="57" t="str">
        <f aca="false">IF($M26&lt;&gt;"",$M26*$G26,"")</f>
        <v/>
      </c>
      <c r="O26" s="57" t="str">
        <f aca="false">IF($N26&lt;&gt;"",$N26*$H26,"")</f>
        <v/>
      </c>
      <c r="P26" s="58" t="str">
        <f aca="false">IF($D26&gt;0,($D26*$E26)*0.05,"")</f>
        <v/>
      </c>
      <c r="Q26" s="58" t="str">
        <f aca="false">IF($P26&lt;&gt;"",$P26+$I26+$J26+$K26,"")</f>
        <v/>
      </c>
      <c r="R26" s="59" t="str">
        <f aca="false">IF($O26&lt;&gt;"",$O26+$Q26,"")</f>
        <v/>
      </c>
      <c r="S26" s="60" t="str">
        <f aca="false">IF($R26&lt;&gt;"",$R26/1000000000,"")</f>
        <v/>
      </c>
      <c r="T26" s="61" t="str">
        <f aca="false">IF(AND($R26&lt;&gt;"",$L26&gt;0),$R26*$L26,"")</f>
        <v/>
      </c>
      <c r="U26" s="62" t="str">
        <f aca="false">IF($T26&lt;&gt;"",$T26/1000000000000,"")</f>
        <v/>
      </c>
      <c r="V26" s="63" t="str">
        <f aca="false">IF(AND($O26&lt;&gt;"",$Q26&gt;0),$O26/$Q26,"")</f>
        <v/>
      </c>
      <c r="W26" s="64" t="str">
        <f aca="false">IF(AND($R26&lt;&gt;"",$D26&gt;0),$R26/$D26,"")</f>
        <v/>
      </c>
      <c r="X26" s="65" t="str">
        <f aca="false">IF(AND($N26&lt;&gt;"",$R26&gt;0),$N26/$R26,"")</f>
        <v/>
      </c>
      <c r="Y26" s="66" t="str">
        <f aca="false">IF(AND($O26&lt;&gt;"",$R26&gt;0),$O26/$R26,"")</f>
        <v/>
      </c>
      <c r="Z26" s="66" t="str">
        <f aca="false">IF(AND($Q26&lt;&gt;"",$R26&gt;0),$Q26/$R26,"")</f>
        <v/>
      </c>
    </row>
    <row r="27" customFormat="false" ht="15" hidden="false" customHeight="false" outlineLevel="0" collapsed="false">
      <c r="A27" s="48" t="n">
        <v>24</v>
      </c>
      <c r="B27" s="49"/>
      <c r="C27" s="50"/>
      <c r="D27" s="51"/>
      <c r="E27" s="52"/>
      <c r="F27" s="53"/>
      <c r="G27" s="52"/>
      <c r="H27" s="54"/>
      <c r="I27" s="55"/>
      <c r="J27" s="55"/>
      <c r="K27" s="55"/>
      <c r="L27" s="56"/>
      <c r="M27" s="57" t="str">
        <f aca="false">IF($D27&gt;0,$D27*$E27*$F27,"")</f>
        <v/>
      </c>
      <c r="N27" s="57" t="str">
        <f aca="false">IF($M27&lt;&gt;"",$M27*$G27,"")</f>
        <v/>
      </c>
      <c r="O27" s="57" t="str">
        <f aca="false">IF($N27&lt;&gt;"",$N27*$H27,"")</f>
        <v/>
      </c>
      <c r="P27" s="58" t="str">
        <f aca="false">IF($D27&gt;0,($D27*$E27)*0.05,"")</f>
        <v/>
      </c>
      <c r="Q27" s="58" t="str">
        <f aca="false">IF($P27&lt;&gt;"",$P27+$I27+$J27+$K27,"")</f>
        <v/>
      </c>
      <c r="R27" s="59" t="str">
        <f aca="false">IF($O27&lt;&gt;"",$O27+$Q27,"")</f>
        <v/>
      </c>
      <c r="S27" s="60" t="str">
        <f aca="false">IF($R27&lt;&gt;"",$R27/1000000000,"")</f>
        <v/>
      </c>
      <c r="T27" s="61" t="str">
        <f aca="false">IF(AND($R27&lt;&gt;"",$L27&gt;0),$R27*$L27,"")</f>
        <v/>
      </c>
      <c r="U27" s="62" t="str">
        <f aca="false">IF($T27&lt;&gt;"",$T27/1000000000000,"")</f>
        <v/>
      </c>
      <c r="V27" s="63" t="str">
        <f aca="false">IF(AND($O27&lt;&gt;"",$Q27&gt;0),$O27/$Q27,"")</f>
        <v/>
      </c>
      <c r="W27" s="64" t="str">
        <f aca="false">IF(AND($R27&lt;&gt;"",$D27&gt;0),$R27/$D27,"")</f>
        <v/>
      </c>
      <c r="X27" s="65" t="str">
        <f aca="false">IF(AND($N27&lt;&gt;"",$R27&gt;0),$N27/$R27,"")</f>
        <v/>
      </c>
      <c r="Y27" s="66" t="str">
        <f aca="false">IF(AND($O27&lt;&gt;"",$R27&gt;0),$O27/$R27,"")</f>
        <v/>
      </c>
      <c r="Z27" s="66" t="str">
        <f aca="false">IF(AND($Q27&lt;&gt;"",$R27&gt;0),$Q27/$R27,"")</f>
        <v/>
      </c>
    </row>
    <row r="28" customFormat="false" ht="15" hidden="false" customHeight="false" outlineLevel="0" collapsed="false">
      <c r="A28" s="48" t="n">
        <v>25</v>
      </c>
      <c r="B28" s="49"/>
      <c r="C28" s="50"/>
      <c r="D28" s="51"/>
      <c r="E28" s="52"/>
      <c r="F28" s="53"/>
      <c r="G28" s="52"/>
      <c r="H28" s="54"/>
      <c r="I28" s="55"/>
      <c r="J28" s="55"/>
      <c r="K28" s="55"/>
      <c r="L28" s="56"/>
      <c r="M28" s="57" t="str">
        <f aca="false">IF($D28&gt;0,$D28*$E28*$F28,"")</f>
        <v/>
      </c>
      <c r="N28" s="57" t="str">
        <f aca="false">IF($M28&lt;&gt;"",$M28*$G28,"")</f>
        <v/>
      </c>
      <c r="O28" s="57" t="str">
        <f aca="false">IF($N28&lt;&gt;"",$N28*$H28,"")</f>
        <v/>
      </c>
      <c r="P28" s="58" t="str">
        <f aca="false">IF($D28&gt;0,($D28*$E28)*0.05,"")</f>
        <v/>
      </c>
      <c r="Q28" s="58" t="str">
        <f aca="false">IF($P28&lt;&gt;"",$P28+$I28+$J28+$K28,"")</f>
        <v/>
      </c>
      <c r="R28" s="59" t="str">
        <f aca="false">IF($O28&lt;&gt;"",$O28+$Q28,"")</f>
        <v/>
      </c>
      <c r="S28" s="60" t="str">
        <f aca="false">IF($R28&lt;&gt;"",$R28/1000000000,"")</f>
        <v/>
      </c>
      <c r="T28" s="61" t="str">
        <f aca="false">IF(AND($R28&lt;&gt;"",$L28&gt;0),$R28*$L28,"")</f>
        <v/>
      </c>
      <c r="U28" s="62" t="str">
        <f aca="false">IF($T28&lt;&gt;"",$T28/1000000000000,"")</f>
        <v/>
      </c>
      <c r="V28" s="63" t="str">
        <f aca="false">IF(AND($O28&lt;&gt;"",$Q28&gt;0),$O28/$Q28,"")</f>
        <v/>
      </c>
      <c r="W28" s="64" t="str">
        <f aca="false">IF(AND($R28&lt;&gt;"",$D28&gt;0),$R28/$D28,"")</f>
        <v/>
      </c>
      <c r="X28" s="65" t="str">
        <f aca="false">IF(AND($N28&lt;&gt;"",$R28&gt;0),$N28/$R28,"")</f>
        <v/>
      </c>
      <c r="Y28" s="66" t="str">
        <f aca="false">IF(AND($O28&lt;&gt;"",$R28&gt;0),$O28/$R28,"")</f>
        <v/>
      </c>
      <c r="Z28" s="66" t="str">
        <f aca="false">IF(AND($Q28&lt;&gt;"",$R28&gt;0),$Q28/$R28,"")</f>
        <v/>
      </c>
    </row>
    <row r="29" customFormat="false" ht="15" hidden="false" customHeight="false" outlineLevel="0" collapsed="false">
      <c r="A29" s="48" t="n">
        <v>26</v>
      </c>
      <c r="B29" s="49"/>
      <c r="C29" s="50"/>
      <c r="D29" s="51"/>
      <c r="E29" s="52"/>
      <c r="F29" s="53"/>
      <c r="G29" s="52"/>
      <c r="H29" s="54"/>
      <c r="I29" s="55"/>
      <c r="J29" s="55"/>
      <c r="K29" s="55"/>
      <c r="L29" s="56"/>
      <c r="M29" s="57" t="str">
        <f aca="false">IF($D29&gt;0,$D29*$E29*$F29,"")</f>
        <v/>
      </c>
      <c r="N29" s="57" t="str">
        <f aca="false">IF($M29&lt;&gt;"",$M29*$G29,"")</f>
        <v/>
      </c>
      <c r="O29" s="57" t="str">
        <f aca="false">IF($N29&lt;&gt;"",$N29*$H29,"")</f>
        <v/>
      </c>
      <c r="P29" s="58" t="str">
        <f aca="false">IF($D29&gt;0,($D29*$E29)*0.05,"")</f>
        <v/>
      </c>
      <c r="Q29" s="58" t="str">
        <f aca="false">IF($P29&lt;&gt;"",$P29+$I29+$J29+$K29,"")</f>
        <v/>
      </c>
      <c r="R29" s="59" t="str">
        <f aca="false">IF($O29&lt;&gt;"",$O29+$Q29,"")</f>
        <v/>
      </c>
      <c r="S29" s="60" t="str">
        <f aca="false">IF($R29&lt;&gt;"",$R29/1000000000,"")</f>
        <v/>
      </c>
      <c r="T29" s="61" t="str">
        <f aca="false">IF(AND($R29&lt;&gt;"",$L29&gt;0),$R29*$L29,"")</f>
        <v/>
      </c>
      <c r="U29" s="62" t="str">
        <f aca="false">IF($T29&lt;&gt;"",$T29/1000000000000,"")</f>
        <v/>
      </c>
      <c r="V29" s="63" t="str">
        <f aca="false">IF(AND($O29&lt;&gt;"",$Q29&gt;0),$O29/$Q29,"")</f>
        <v/>
      </c>
      <c r="W29" s="64" t="str">
        <f aca="false">IF(AND($R29&lt;&gt;"",$D29&gt;0),$R29/$D29,"")</f>
        <v/>
      </c>
      <c r="X29" s="65" t="str">
        <f aca="false">IF(AND($N29&lt;&gt;"",$R29&gt;0),$N29/$R29,"")</f>
        <v/>
      </c>
      <c r="Y29" s="66" t="str">
        <f aca="false">IF(AND($O29&lt;&gt;"",$R29&gt;0),$O29/$R29,"")</f>
        <v/>
      </c>
      <c r="Z29" s="66" t="str">
        <f aca="false">IF(AND($Q29&lt;&gt;"",$R29&gt;0),$Q29/$R29,"")</f>
        <v/>
      </c>
    </row>
    <row r="30" customFormat="false" ht="15" hidden="false" customHeight="false" outlineLevel="0" collapsed="false">
      <c r="A30" s="48" t="n">
        <v>27</v>
      </c>
      <c r="B30" s="49"/>
      <c r="C30" s="50"/>
      <c r="D30" s="51"/>
      <c r="E30" s="52"/>
      <c r="F30" s="53"/>
      <c r="G30" s="52"/>
      <c r="H30" s="54"/>
      <c r="I30" s="55"/>
      <c r="J30" s="55"/>
      <c r="K30" s="55"/>
      <c r="L30" s="56"/>
      <c r="M30" s="57" t="str">
        <f aca="false">IF($D30&gt;0,$D30*$E30*$F30,"")</f>
        <v/>
      </c>
      <c r="N30" s="57" t="str">
        <f aca="false">IF($M30&lt;&gt;"",$M30*$G30,"")</f>
        <v/>
      </c>
      <c r="O30" s="57" t="str">
        <f aca="false">IF($N30&lt;&gt;"",$N30*$H30,"")</f>
        <v/>
      </c>
      <c r="P30" s="58" t="str">
        <f aca="false">IF($D30&gt;0,($D30*$E30)*0.05,"")</f>
        <v/>
      </c>
      <c r="Q30" s="58" t="str">
        <f aca="false">IF($P30&lt;&gt;"",$P30+$I30+$J30+$K30,"")</f>
        <v/>
      </c>
      <c r="R30" s="59" t="str">
        <f aca="false">IF($O30&lt;&gt;"",$O30+$Q30,"")</f>
        <v/>
      </c>
      <c r="S30" s="60" t="str">
        <f aca="false">IF($R30&lt;&gt;"",$R30/1000000000,"")</f>
        <v/>
      </c>
      <c r="T30" s="61" t="str">
        <f aca="false">IF(AND($R30&lt;&gt;"",$L30&gt;0),$R30*$L30,"")</f>
        <v/>
      </c>
      <c r="U30" s="62" t="str">
        <f aca="false">IF($T30&lt;&gt;"",$T30/1000000000000,"")</f>
        <v/>
      </c>
      <c r="V30" s="63" t="str">
        <f aca="false">IF(AND($O30&lt;&gt;"",$Q30&gt;0),$O30/$Q30,"")</f>
        <v/>
      </c>
      <c r="W30" s="64" t="str">
        <f aca="false">IF(AND($R30&lt;&gt;"",$D30&gt;0),$R30/$D30,"")</f>
        <v/>
      </c>
      <c r="X30" s="65" t="str">
        <f aca="false">IF(AND($N30&lt;&gt;"",$R30&gt;0),$N30/$R30,"")</f>
        <v/>
      </c>
      <c r="Y30" s="66" t="str">
        <f aca="false">IF(AND($O30&lt;&gt;"",$R30&gt;0),$O30/$R30,"")</f>
        <v/>
      </c>
      <c r="Z30" s="66" t="str">
        <f aca="false">IF(AND($Q30&lt;&gt;"",$R30&gt;0),$Q30/$R30,"")</f>
        <v/>
      </c>
    </row>
    <row r="31" customFormat="false" ht="15" hidden="false" customHeight="false" outlineLevel="0" collapsed="false">
      <c r="A31" s="48" t="n">
        <v>28</v>
      </c>
      <c r="B31" s="49"/>
      <c r="C31" s="50"/>
      <c r="D31" s="51"/>
      <c r="E31" s="52"/>
      <c r="F31" s="53"/>
      <c r="G31" s="52"/>
      <c r="H31" s="54"/>
      <c r="I31" s="55"/>
      <c r="J31" s="55"/>
      <c r="K31" s="55"/>
      <c r="L31" s="56"/>
      <c r="M31" s="57" t="str">
        <f aca="false">IF($D31&gt;0,$D31*$E31*$F31,"")</f>
        <v/>
      </c>
      <c r="N31" s="57" t="str">
        <f aca="false">IF($M31&lt;&gt;"",$M31*$G31,"")</f>
        <v/>
      </c>
      <c r="O31" s="57" t="str">
        <f aca="false">IF($N31&lt;&gt;"",$N31*$H31,"")</f>
        <v/>
      </c>
      <c r="P31" s="58" t="str">
        <f aca="false">IF($D31&gt;0,($D31*$E31)*0.05,"")</f>
        <v/>
      </c>
      <c r="Q31" s="58" t="str">
        <f aca="false">IF($P31&lt;&gt;"",$P31+$I31+$J31+$K31,"")</f>
        <v/>
      </c>
      <c r="R31" s="59" t="str">
        <f aca="false">IF($O31&lt;&gt;"",$O31+$Q31,"")</f>
        <v/>
      </c>
      <c r="S31" s="60" t="str">
        <f aca="false">IF($R31&lt;&gt;"",$R31/1000000000,"")</f>
        <v/>
      </c>
      <c r="T31" s="61" t="str">
        <f aca="false">IF(AND($R31&lt;&gt;"",$L31&gt;0),$R31*$L31,"")</f>
        <v/>
      </c>
      <c r="U31" s="62" t="str">
        <f aca="false">IF($T31&lt;&gt;"",$T31/1000000000000,"")</f>
        <v/>
      </c>
      <c r="V31" s="63" t="str">
        <f aca="false">IF(AND($O31&lt;&gt;"",$Q31&gt;0),$O31/$Q31,"")</f>
        <v/>
      </c>
      <c r="W31" s="64" t="str">
        <f aca="false">IF(AND($R31&lt;&gt;"",$D31&gt;0),$R31/$D31,"")</f>
        <v/>
      </c>
      <c r="X31" s="65" t="str">
        <f aca="false">IF(AND($N31&lt;&gt;"",$R31&gt;0),$N31/$R31,"")</f>
        <v/>
      </c>
      <c r="Y31" s="66" t="str">
        <f aca="false">IF(AND($O31&lt;&gt;"",$R31&gt;0),$O31/$R31,"")</f>
        <v/>
      </c>
      <c r="Z31" s="66" t="str">
        <f aca="false">IF(AND($Q31&lt;&gt;"",$R31&gt;0),$Q31/$R31,"")</f>
        <v/>
      </c>
    </row>
    <row r="32" customFormat="false" ht="15" hidden="false" customHeight="false" outlineLevel="0" collapsed="false">
      <c r="A32" s="48" t="n">
        <v>29</v>
      </c>
      <c r="B32" s="49"/>
      <c r="C32" s="50"/>
      <c r="D32" s="51"/>
      <c r="E32" s="52"/>
      <c r="F32" s="53"/>
      <c r="G32" s="52"/>
      <c r="H32" s="54"/>
      <c r="I32" s="55"/>
      <c r="J32" s="55"/>
      <c r="K32" s="55"/>
      <c r="L32" s="56"/>
      <c r="M32" s="57" t="str">
        <f aca="false">IF($D32&gt;0,$D32*$E32*$F32,"")</f>
        <v/>
      </c>
      <c r="N32" s="57" t="str">
        <f aca="false">IF($M32&lt;&gt;"",$M32*$G32,"")</f>
        <v/>
      </c>
      <c r="O32" s="57" t="str">
        <f aca="false">IF($N32&lt;&gt;"",$N32*$H32,"")</f>
        <v/>
      </c>
      <c r="P32" s="58" t="str">
        <f aca="false">IF($D32&gt;0,($D32*$E32)*0.05,"")</f>
        <v/>
      </c>
      <c r="Q32" s="58" t="str">
        <f aca="false">IF($P32&lt;&gt;"",$P32+$I32+$J32+$K32,"")</f>
        <v/>
      </c>
      <c r="R32" s="59" t="str">
        <f aca="false">IF($O32&lt;&gt;"",$O32+$Q32,"")</f>
        <v/>
      </c>
      <c r="S32" s="60" t="str">
        <f aca="false">IF($R32&lt;&gt;"",$R32/1000000000,"")</f>
        <v/>
      </c>
      <c r="T32" s="61" t="str">
        <f aca="false">IF(AND($R32&lt;&gt;"",$L32&gt;0),$R32*$L32,"")</f>
        <v/>
      </c>
      <c r="U32" s="62" t="str">
        <f aca="false">IF($T32&lt;&gt;"",$T32/1000000000000,"")</f>
        <v/>
      </c>
      <c r="V32" s="63" t="str">
        <f aca="false">IF(AND($O32&lt;&gt;"",$Q32&gt;0),$O32/$Q32,"")</f>
        <v/>
      </c>
      <c r="W32" s="64" t="str">
        <f aca="false">IF(AND($R32&lt;&gt;"",$D32&gt;0),$R32/$D32,"")</f>
        <v/>
      </c>
      <c r="X32" s="65" t="str">
        <f aca="false">IF(AND($N32&lt;&gt;"",$R32&gt;0),$N32/$R32,"")</f>
        <v/>
      </c>
      <c r="Y32" s="66" t="str">
        <f aca="false">IF(AND($O32&lt;&gt;"",$R32&gt;0),$O32/$R32,"")</f>
        <v/>
      </c>
      <c r="Z32" s="66" t="str">
        <f aca="false">IF(AND($Q32&lt;&gt;"",$R32&gt;0),$Q32/$R32,"")</f>
        <v/>
      </c>
    </row>
    <row r="33" customFormat="false" ht="15" hidden="false" customHeight="false" outlineLevel="0" collapsed="false">
      <c r="A33" s="48" t="n">
        <v>30</v>
      </c>
      <c r="B33" s="49"/>
      <c r="C33" s="50"/>
      <c r="D33" s="51"/>
      <c r="E33" s="52"/>
      <c r="F33" s="53"/>
      <c r="G33" s="52"/>
      <c r="H33" s="54"/>
      <c r="I33" s="55"/>
      <c r="J33" s="55"/>
      <c r="K33" s="55"/>
      <c r="L33" s="56"/>
      <c r="M33" s="57" t="str">
        <f aca="false">IF($D33&gt;0,$D33*$E33*$F33,"")</f>
        <v/>
      </c>
      <c r="N33" s="57" t="str">
        <f aca="false">IF($M33&lt;&gt;"",$M33*$G33,"")</f>
        <v/>
      </c>
      <c r="O33" s="57" t="str">
        <f aca="false">IF($N33&lt;&gt;"",$N33*$H33,"")</f>
        <v/>
      </c>
      <c r="P33" s="58" t="str">
        <f aca="false">IF($D33&gt;0,($D33*$E33)*0.05,"")</f>
        <v/>
      </c>
      <c r="Q33" s="58" t="str">
        <f aca="false">IF($P33&lt;&gt;"",$P33+$I33+$J33+$K33,"")</f>
        <v/>
      </c>
      <c r="R33" s="59" t="str">
        <f aca="false">IF($O33&lt;&gt;"",$O33+$Q33,"")</f>
        <v/>
      </c>
      <c r="S33" s="60" t="str">
        <f aca="false">IF($R33&lt;&gt;"",$R33/1000000000,"")</f>
        <v/>
      </c>
      <c r="T33" s="61" t="str">
        <f aca="false">IF(AND($R33&lt;&gt;"",$L33&gt;0),$R33*$L33,"")</f>
        <v/>
      </c>
      <c r="U33" s="62" t="str">
        <f aca="false">IF($T33&lt;&gt;"",$T33/1000000000000,"")</f>
        <v/>
      </c>
      <c r="V33" s="63" t="str">
        <f aca="false">IF(AND($O33&lt;&gt;"",$Q33&gt;0),$O33/$Q33,"")</f>
        <v/>
      </c>
      <c r="W33" s="64" t="str">
        <f aca="false">IF(AND($R33&lt;&gt;"",$D33&gt;0),$R33/$D33,"")</f>
        <v/>
      </c>
      <c r="X33" s="65" t="str">
        <f aca="false">IF(AND($N33&lt;&gt;"",$R33&gt;0),$N33/$R33,"")</f>
        <v/>
      </c>
      <c r="Y33" s="66" t="str">
        <f aca="false">IF(AND($O33&lt;&gt;"",$R33&gt;0),$O33/$R33,"")</f>
        <v/>
      </c>
      <c r="Z33" s="66" t="str">
        <f aca="false">IF(AND($Q33&lt;&gt;"",$R33&gt;0),$Q33/$R33,"")</f>
        <v/>
      </c>
    </row>
    <row r="34" customFormat="false" ht="15" hidden="false" customHeight="false" outlineLevel="0" collapsed="false">
      <c r="A34" s="48" t="n">
        <v>31</v>
      </c>
      <c r="B34" s="49"/>
      <c r="C34" s="50"/>
      <c r="D34" s="51"/>
      <c r="E34" s="52"/>
      <c r="F34" s="53"/>
      <c r="G34" s="52"/>
      <c r="H34" s="54"/>
      <c r="I34" s="55"/>
      <c r="J34" s="55"/>
      <c r="K34" s="55"/>
      <c r="L34" s="56"/>
      <c r="M34" s="57" t="str">
        <f aca="false">IF($D34&gt;0,$D34*$E34*$F34,"")</f>
        <v/>
      </c>
      <c r="N34" s="57" t="str">
        <f aca="false">IF($M34&lt;&gt;"",$M34*$G34,"")</f>
        <v/>
      </c>
      <c r="O34" s="57" t="str">
        <f aca="false">IF($N34&lt;&gt;"",$N34*$H34,"")</f>
        <v/>
      </c>
      <c r="P34" s="58" t="str">
        <f aca="false">IF($D34&gt;0,($D34*$E34)*0.05,"")</f>
        <v/>
      </c>
      <c r="Q34" s="58" t="str">
        <f aca="false">IF($P34&lt;&gt;"",$P34+$I34+$J34+$K34,"")</f>
        <v/>
      </c>
      <c r="R34" s="59" t="str">
        <f aca="false">IF($O34&lt;&gt;"",$O34+$Q34,"")</f>
        <v/>
      </c>
      <c r="S34" s="60" t="str">
        <f aca="false">IF($R34&lt;&gt;"",$R34/1000000000,"")</f>
        <v/>
      </c>
      <c r="T34" s="61" t="str">
        <f aca="false">IF(AND($R34&lt;&gt;"",$L34&gt;0),$R34*$L34,"")</f>
        <v/>
      </c>
      <c r="U34" s="62" t="str">
        <f aca="false">IF($T34&lt;&gt;"",$T34/1000000000000,"")</f>
        <v/>
      </c>
      <c r="V34" s="63" t="str">
        <f aca="false">IF(AND($O34&lt;&gt;"",$Q34&gt;0),$O34/$Q34,"")</f>
        <v/>
      </c>
      <c r="W34" s="64" t="str">
        <f aca="false">IF(AND($R34&lt;&gt;"",$D34&gt;0),$R34/$D34,"")</f>
        <v/>
      </c>
      <c r="X34" s="65" t="str">
        <f aca="false">IF(AND($N34&lt;&gt;"",$R34&gt;0),$N34/$R34,"")</f>
        <v/>
      </c>
      <c r="Y34" s="66" t="str">
        <f aca="false">IF(AND($O34&lt;&gt;"",$R34&gt;0),$O34/$R34,"")</f>
        <v/>
      </c>
      <c r="Z34" s="66" t="str">
        <f aca="false">IF(AND($Q34&lt;&gt;"",$R34&gt;0),$Q34/$R34,"")</f>
        <v/>
      </c>
    </row>
    <row r="35" customFormat="false" ht="15" hidden="false" customHeight="false" outlineLevel="0" collapsed="false">
      <c r="A35" s="48" t="n">
        <v>32</v>
      </c>
      <c r="B35" s="49"/>
      <c r="C35" s="50"/>
      <c r="D35" s="51"/>
      <c r="E35" s="52"/>
      <c r="F35" s="53"/>
      <c r="G35" s="52"/>
      <c r="H35" s="54"/>
      <c r="I35" s="55"/>
      <c r="J35" s="55"/>
      <c r="K35" s="55"/>
      <c r="L35" s="56"/>
      <c r="M35" s="57" t="str">
        <f aca="false">IF($D35&gt;0,$D35*$E35*$F35,"")</f>
        <v/>
      </c>
      <c r="N35" s="57" t="str">
        <f aca="false">IF($M35&lt;&gt;"",$M35*$G35,"")</f>
        <v/>
      </c>
      <c r="O35" s="57" t="str">
        <f aca="false">IF($N35&lt;&gt;"",$N35*$H35,"")</f>
        <v/>
      </c>
      <c r="P35" s="58" t="str">
        <f aca="false">IF($D35&gt;0,($D35*$E35)*0.05,"")</f>
        <v/>
      </c>
      <c r="Q35" s="58" t="str">
        <f aca="false">IF($P35&lt;&gt;"",$P35+$I35+$J35+$K35,"")</f>
        <v/>
      </c>
      <c r="R35" s="59" t="str">
        <f aca="false">IF($O35&lt;&gt;"",$O35+$Q35,"")</f>
        <v/>
      </c>
      <c r="S35" s="60" t="str">
        <f aca="false">IF($R35&lt;&gt;"",$R35/1000000000,"")</f>
        <v/>
      </c>
      <c r="T35" s="61" t="str">
        <f aca="false">IF(AND($R35&lt;&gt;"",$L35&gt;0),$R35*$L35,"")</f>
        <v/>
      </c>
      <c r="U35" s="62" t="str">
        <f aca="false">IF($T35&lt;&gt;"",$T35/1000000000000,"")</f>
        <v/>
      </c>
      <c r="V35" s="63" t="str">
        <f aca="false">IF(AND($O35&lt;&gt;"",$Q35&gt;0),$O35/$Q35,"")</f>
        <v/>
      </c>
      <c r="W35" s="64" t="str">
        <f aca="false">IF(AND($R35&lt;&gt;"",$D35&gt;0),$R35/$D35,"")</f>
        <v/>
      </c>
      <c r="X35" s="65" t="str">
        <f aca="false">IF(AND($N35&lt;&gt;"",$R35&gt;0),$N35/$R35,"")</f>
        <v/>
      </c>
      <c r="Y35" s="66" t="str">
        <f aca="false">IF(AND($O35&lt;&gt;"",$R35&gt;0),$O35/$R35,"")</f>
        <v/>
      </c>
      <c r="Z35" s="66" t="str">
        <f aca="false">IF(AND($Q35&lt;&gt;"",$R35&gt;0),$Q35/$R35,"")</f>
        <v/>
      </c>
    </row>
    <row r="36" customFormat="false" ht="15" hidden="false" customHeight="false" outlineLevel="0" collapsed="false">
      <c r="A36" s="48" t="n">
        <v>33</v>
      </c>
      <c r="B36" s="49"/>
      <c r="C36" s="50"/>
      <c r="D36" s="51"/>
      <c r="E36" s="52"/>
      <c r="F36" s="53"/>
      <c r="G36" s="52"/>
      <c r="H36" s="54"/>
      <c r="I36" s="55"/>
      <c r="J36" s="55"/>
      <c r="K36" s="55"/>
      <c r="L36" s="56"/>
      <c r="M36" s="57" t="str">
        <f aca="false">IF($D36&gt;0,$D36*$E36*$F36,"")</f>
        <v/>
      </c>
      <c r="N36" s="57" t="str">
        <f aca="false">IF($M36&lt;&gt;"",$M36*$G36,"")</f>
        <v/>
      </c>
      <c r="O36" s="57" t="str">
        <f aca="false">IF($N36&lt;&gt;"",$N36*$H36,"")</f>
        <v/>
      </c>
      <c r="P36" s="58" t="str">
        <f aca="false">IF($D36&gt;0,($D36*$E36)*0.05,"")</f>
        <v/>
      </c>
      <c r="Q36" s="58" t="str">
        <f aca="false">IF($P36&lt;&gt;"",$P36+$I36+$J36+$K36,"")</f>
        <v/>
      </c>
      <c r="R36" s="59" t="str">
        <f aca="false">IF($O36&lt;&gt;"",$O36+$Q36,"")</f>
        <v/>
      </c>
      <c r="S36" s="60" t="str">
        <f aca="false">IF($R36&lt;&gt;"",$R36/1000000000,"")</f>
        <v/>
      </c>
      <c r="T36" s="61" t="str">
        <f aca="false">IF(AND($R36&lt;&gt;"",$L36&gt;0),$R36*$L36,"")</f>
        <v/>
      </c>
      <c r="U36" s="62" t="str">
        <f aca="false">IF($T36&lt;&gt;"",$T36/1000000000000,"")</f>
        <v/>
      </c>
      <c r="V36" s="63" t="str">
        <f aca="false">IF(AND($O36&lt;&gt;"",$Q36&gt;0),$O36/$Q36,"")</f>
        <v/>
      </c>
      <c r="W36" s="64" t="str">
        <f aca="false">IF(AND($R36&lt;&gt;"",$D36&gt;0),$R36/$D36,"")</f>
        <v/>
      </c>
      <c r="X36" s="65" t="str">
        <f aca="false">IF(AND($N36&lt;&gt;"",$R36&gt;0),$N36/$R36,"")</f>
        <v/>
      </c>
      <c r="Y36" s="66" t="str">
        <f aca="false">IF(AND($O36&lt;&gt;"",$R36&gt;0),$O36/$R36,"")</f>
        <v/>
      </c>
      <c r="Z36" s="66" t="str">
        <f aca="false">IF(AND($Q36&lt;&gt;"",$R36&gt;0),$Q36/$R36,"")</f>
        <v/>
      </c>
    </row>
    <row r="37" customFormat="false" ht="15" hidden="false" customHeight="false" outlineLevel="0" collapsed="false">
      <c r="A37" s="48" t="n">
        <v>34</v>
      </c>
      <c r="B37" s="49"/>
      <c r="C37" s="50"/>
      <c r="D37" s="51"/>
      <c r="E37" s="52"/>
      <c r="F37" s="53"/>
      <c r="G37" s="52"/>
      <c r="H37" s="54"/>
      <c r="I37" s="55"/>
      <c r="J37" s="55"/>
      <c r="K37" s="55"/>
      <c r="L37" s="56"/>
      <c r="M37" s="57" t="str">
        <f aca="false">IF($D37&gt;0,$D37*$E37*$F37,"")</f>
        <v/>
      </c>
      <c r="N37" s="57" t="str">
        <f aca="false">IF($M37&lt;&gt;"",$M37*$G37,"")</f>
        <v/>
      </c>
      <c r="O37" s="57" t="str">
        <f aca="false">IF($N37&lt;&gt;"",$N37*$H37,"")</f>
        <v/>
      </c>
      <c r="P37" s="58" t="str">
        <f aca="false">IF($D37&gt;0,($D37*$E37)*0.05,"")</f>
        <v/>
      </c>
      <c r="Q37" s="58" t="str">
        <f aca="false">IF($P37&lt;&gt;"",$P37+$I37+$J37+$K37,"")</f>
        <v/>
      </c>
      <c r="R37" s="59" t="str">
        <f aca="false">IF($O37&lt;&gt;"",$O37+$Q37,"")</f>
        <v/>
      </c>
      <c r="S37" s="60" t="str">
        <f aca="false">IF($R37&lt;&gt;"",$R37/1000000000,"")</f>
        <v/>
      </c>
      <c r="T37" s="61" t="str">
        <f aca="false">IF(AND($R37&lt;&gt;"",$L37&gt;0),$R37*$L37,"")</f>
        <v/>
      </c>
      <c r="U37" s="62" t="str">
        <f aca="false">IF($T37&lt;&gt;"",$T37/1000000000000,"")</f>
        <v/>
      </c>
      <c r="V37" s="63" t="str">
        <f aca="false">IF(AND($O37&lt;&gt;"",$Q37&gt;0),$O37/$Q37,"")</f>
        <v/>
      </c>
      <c r="W37" s="64" t="str">
        <f aca="false">IF(AND($R37&lt;&gt;"",$D37&gt;0),$R37/$D37,"")</f>
        <v/>
      </c>
      <c r="X37" s="65" t="str">
        <f aca="false">IF(AND($N37&lt;&gt;"",$R37&gt;0),$N37/$R37,"")</f>
        <v/>
      </c>
      <c r="Y37" s="66" t="str">
        <f aca="false">IF(AND($O37&lt;&gt;"",$R37&gt;0),$O37/$R37,"")</f>
        <v/>
      </c>
      <c r="Z37" s="66" t="str">
        <f aca="false">IF(AND($Q37&lt;&gt;"",$R37&gt;0),$Q37/$R37,"")</f>
        <v/>
      </c>
    </row>
    <row r="38" customFormat="false" ht="15" hidden="false" customHeight="false" outlineLevel="0" collapsed="false">
      <c r="A38" s="48" t="n">
        <v>35</v>
      </c>
      <c r="B38" s="49"/>
      <c r="C38" s="50"/>
      <c r="D38" s="51"/>
      <c r="E38" s="52"/>
      <c r="F38" s="53"/>
      <c r="G38" s="52"/>
      <c r="H38" s="54"/>
      <c r="I38" s="55"/>
      <c r="J38" s="55"/>
      <c r="K38" s="55"/>
      <c r="L38" s="56"/>
      <c r="M38" s="57" t="str">
        <f aca="false">IF($D38&gt;0,$D38*$E38*$F38,"")</f>
        <v/>
      </c>
      <c r="N38" s="57" t="str">
        <f aca="false">IF($M38&lt;&gt;"",$M38*$G38,"")</f>
        <v/>
      </c>
      <c r="O38" s="57" t="str">
        <f aca="false">IF($N38&lt;&gt;"",$N38*$H38,"")</f>
        <v/>
      </c>
      <c r="P38" s="58" t="str">
        <f aca="false">IF($D38&gt;0,($D38*$E38)*0.05,"")</f>
        <v/>
      </c>
      <c r="Q38" s="58" t="str">
        <f aca="false">IF($P38&lt;&gt;"",$P38+$I38+$J38+$K38,"")</f>
        <v/>
      </c>
      <c r="R38" s="59" t="str">
        <f aca="false">IF($O38&lt;&gt;"",$O38+$Q38,"")</f>
        <v/>
      </c>
      <c r="S38" s="60" t="str">
        <f aca="false">IF($R38&lt;&gt;"",$R38/1000000000,"")</f>
        <v/>
      </c>
      <c r="T38" s="61" t="str">
        <f aca="false">IF(AND($R38&lt;&gt;"",$L38&gt;0),$R38*$L38,"")</f>
        <v/>
      </c>
      <c r="U38" s="62" t="str">
        <f aca="false">IF($T38&lt;&gt;"",$T38/1000000000000,"")</f>
        <v/>
      </c>
      <c r="V38" s="63" t="str">
        <f aca="false">IF(AND($O38&lt;&gt;"",$Q38&gt;0),$O38/$Q38,"")</f>
        <v/>
      </c>
      <c r="W38" s="64" t="str">
        <f aca="false">IF(AND($R38&lt;&gt;"",$D38&gt;0),$R38/$D38,"")</f>
        <v/>
      </c>
      <c r="X38" s="65" t="str">
        <f aca="false">IF(AND($N38&lt;&gt;"",$R38&gt;0),$N38/$R38,"")</f>
        <v/>
      </c>
      <c r="Y38" s="66" t="str">
        <f aca="false">IF(AND($O38&lt;&gt;"",$R38&gt;0),$O38/$R38,"")</f>
        <v/>
      </c>
      <c r="Z38" s="66" t="str">
        <f aca="false">IF(AND($Q38&lt;&gt;"",$R38&gt;0),$Q38/$R38,"")</f>
        <v/>
      </c>
    </row>
    <row r="39" customFormat="false" ht="15" hidden="false" customHeight="false" outlineLevel="0" collapsed="false">
      <c r="A39" s="48" t="n">
        <v>36</v>
      </c>
      <c r="B39" s="49"/>
      <c r="C39" s="50"/>
      <c r="D39" s="51"/>
      <c r="E39" s="52"/>
      <c r="F39" s="53"/>
      <c r="G39" s="52"/>
      <c r="H39" s="54"/>
      <c r="I39" s="55"/>
      <c r="J39" s="55"/>
      <c r="K39" s="55"/>
      <c r="L39" s="56"/>
      <c r="M39" s="57" t="str">
        <f aca="false">IF($D39&gt;0,$D39*$E39*$F39,"")</f>
        <v/>
      </c>
      <c r="N39" s="57" t="str">
        <f aca="false">IF($M39&lt;&gt;"",$M39*$G39,"")</f>
        <v/>
      </c>
      <c r="O39" s="57" t="str">
        <f aca="false">IF($N39&lt;&gt;"",$N39*$H39,"")</f>
        <v/>
      </c>
      <c r="P39" s="58" t="str">
        <f aca="false">IF($D39&gt;0,($D39*$E39)*0.05,"")</f>
        <v/>
      </c>
      <c r="Q39" s="58" t="str">
        <f aca="false">IF($P39&lt;&gt;"",$P39+$I39+$J39+$K39,"")</f>
        <v/>
      </c>
      <c r="R39" s="59" t="str">
        <f aca="false">IF($O39&lt;&gt;"",$O39+$Q39,"")</f>
        <v/>
      </c>
      <c r="S39" s="60" t="str">
        <f aca="false">IF($R39&lt;&gt;"",$R39/1000000000,"")</f>
        <v/>
      </c>
      <c r="T39" s="61" t="str">
        <f aca="false">IF(AND($R39&lt;&gt;"",$L39&gt;0),$R39*$L39,"")</f>
        <v/>
      </c>
      <c r="U39" s="62" t="str">
        <f aca="false">IF($T39&lt;&gt;"",$T39/1000000000000,"")</f>
        <v/>
      </c>
      <c r="V39" s="63" t="str">
        <f aca="false">IF(AND($O39&lt;&gt;"",$Q39&gt;0),$O39/$Q39,"")</f>
        <v/>
      </c>
      <c r="W39" s="64" t="str">
        <f aca="false">IF(AND($R39&lt;&gt;"",$D39&gt;0),$R39/$D39,"")</f>
        <v/>
      </c>
      <c r="X39" s="65" t="str">
        <f aca="false">IF(AND($N39&lt;&gt;"",$R39&gt;0),$N39/$R39,"")</f>
        <v/>
      </c>
      <c r="Y39" s="66" t="str">
        <f aca="false">IF(AND($O39&lt;&gt;"",$R39&gt;0),$O39/$R39,"")</f>
        <v/>
      </c>
      <c r="Z39" s="66" t="str">
        <f aca="false">IF(AND($Q39&lt;&gt;"",$R39&gt;0),$Q39/$R39,"")</f>
        <v/>
      </c>
    </row>
    <row r="40" customFormat="false" ht="15" hidden="false" customHeight="false" outlineLevel="0" collapsed="false">
      <c r="A40" s="48" t="n">
        <v>37</v>
      </c>
      <c r="B40" s="49"/>
      <c r="C40" s="50"/>
      <c r="D40" s="51"/>
      <c r="E40" s="52"/>
      <c r="F40" s="53"/>
      <c r="G40" s="52"/>
      <c r="H40" s="54"/>
      <c r="I40" s="55"/>
      <c r="J40" s="55"/>
      <c r="K40" s="55"/>
      <c r="L40" s="56"/>
      <c r="M40" s="57" t="str">
        <f aca="false">IF($D40&gt;0,$D40*$E40*$F40,"")</f>
        <v/>
      </c>
      <c r="N40" s="57" t="str">
        <f aca="false">IF($M40&lt;&gt;"",$M40*$G40,"")</f>
        <v/>
      </c>
      <c r="O40" s="57" t="str">
        <f aca="false">IF($N40&lt;&gt;"",$N40*$H40,"")</f>
        <v/>
      </c>
      <c r="P40" s="58" t="str">
        <f aca="false">IF($D40&gt;0,($D40*$E40)*0.05,"")</f>
        <v/>
      </c>
      <c r="Q40" s="58" t="str">
        <f aca="false">IF($P40&lt;&gt;"",$P40+$I40+$J40+$K40,"")</f>
        <v/>
      </c>
      <c r="R40" s="59" t="str">
        <f aca="false">IF($O40&lt;&gt;"",$O40+$Q40,"")</f>
        <v/>
      </c>
      <c r="S40" s="60" t="str">
        <f aca="false">IF($R40&lt;&gt;"",$R40/1000000000,"")</f>
        <v/>
      </c>
      <c r="T40" s="61" t="str">
        <f aca="false">IF(AND($R40&lt;&gt;"",$L40&gt;0),$R40*$L40,"")</f>
        <v/>
      </c>
      <c r="U40" s="62" t="str">
        <f aca="false">IF($T40&lt;&gt;"",$T40/1000000000000,"")</f>
        <v/>
      </c>
      <c r="V40" s="63" t="str">
        <f aca="false">IF(AND($O40&lt;&gt;"",$Q40&gt;0),$O40/$Q40,"")</f>
        <v/>
      </c>
      <c r="W40" s="64" t="str">
        <f aca="false">IF(AND($R40&lt;&gt;"",$D40&gt;0),$R40/$D40,"")</f>
        <v/>
      </c>
      <c r="X40" s="65" t="str">
        <f aca="false">IF(AND($N40&lt;&gt;"",$R40&gt;0),$N40/$R40,"")</f>
        <v/>
      </c>
      <c r="Y40" s="66" t="str">
        <f aca="false">IF(AND($O40&lt;&gt;"",$R40&gt;0),$O40/$R40,"")</f>
        <v/>
      </c>
      <c r="Z40" s="66" t="str">
        <f aca="false">IF(AND($Q40&lt;&gt;"",$R40&gt;0),$Q40/$R40,"")</f>
        <v/>
      </c>
    </row>
    <row r="41" customFormat="false" ht="15" hidden="false" customHeight="false" outlineLevel="0" collapsed="false">
      <c r="A41" s="48" t="n">
        <v>38</v>
      </c>
      <c r="B41" s="49"/>
      <c r="C41" s="50"/>
      <c r="D41" s="51"/>
      <c r="E41" s="52"/>
      <c r="F41" s="53"/>
      <c r="G41" s="52"/>
      <c r="H41" s="54"/>
      <c r="I41" s="55"/>
      <c r="J41" s="55"/>
      <c r="K41" s="55"/>
      <c r="L41" s="56"/>
      <c r="M41" s="57" t="str">
        <f aca="false">IF($D41&gt;0,$D41*$E41*$F41,"")</f>
        <v/>
      </c>
      <c r="N41" s="57" t="str">
        <f aca="false">IF($M41&lt;&gt;"",$M41*$G41,"")</f>
        <v/>
      </c>
      <c r="O41" s="57" t="str">
        <f aca="false">IF($N41&lt;&gt;"",$N41*$H41,"")</f>
        <v/>
      </c>
      <c r="P41" s="58" t="str">
        <f aca="false">IF($D41&gt;0,($D41*$E41)*0.05,"")</f>
        <v/>
      </c>
      <c r="Q41" s="58" t="str">
        <f aca="false">IF($P41&lt;&gt;"",$P41+$I41+$J41+$K41,"")</f>
        <v/>
      </c>
      <c r="R41" s="59" t="str">
        <f aca="false">IF($O41&lt;&gt;"",$O41+$Q41,"")</f>
        <v/>
      </c>
      <c r="S41" s="60" t="str">
        <f aca="false">IF($R41&lt;&gt;"",$R41/1000000000,"")</f>
        <v/>
      </c>
      <c r="T41" s="61" t="str">
        <f aca="false">IF(AND($R41&lt;&gt;"",$L41&gt;0),$R41*$L41,"")</f>
        <v/>
      </c>
      <c r="U41" s="62" t="str">
        <f aca="false">IF($T41&lt;&gt;"",$T41/1000000000000,"")</f>
        <v/>
      </c>
      <c r="V41" s="63" t="str">
        <f aca="false">IF(AND($O41&lt;&gt;"",$Q41&gt;0),$O41/$Q41,"")</f>
        <v/>
      </c>
      <c r="W41" s="64" t="str">
        <f aca="false">IF(AND($R41&lt;&gt;"",$D41&gt;0),$R41/$D41,"")</f>
        <v/>
      </c>
      <c r="X41" s="65" t="str">
        <f aca="false">IF(AND($N41&lt;&gt;"",$R41&gt;0),$N41/$R41,"")</f>
        <v/>
      </c>
      <c r="Y41" s="66" t="str">
        <f aca="false">IF(AND($O41&lt;&gt;"",$R41&gt;0),$O41/$R41,"")</f>
        <v/>
      </c>
      <c r="Z41" s="66" t="str">
        <f aca="false">IF(AND($Q41&lt;&gt;"",$R41&gt;0),$Q41/$R41,"")</f>
        <v/>
      </c>
    </row>
    <row r="42" customFormat="false" ht="15" hidden="false" customHeight="false" outlineLevel="0" collapsed="false">
      <c r="A42" s="48" t="n">
        <v>39</v>
      </c>
      <c r="B42" s="49"/>
      <c r="C42" s="50"/>
      <c r="D42" s="51"/>
      <c r="E42" s="52"/>
      <c r="F42" s="53"/>
      <c r="G42" s="52"/>
      <c r="H42" s="54"/>
      <c r="I42" s="55"/>
      <c r="J42" s="55"/>
      <c r="K42" s="55"/>
      <c r="L42" s="56"/>
      <c r="M42" s="57" t="str">
        <f aca="false">IF($D42&gt;0,$D42*$E42*$F42,"")</f>
        <v/>
      </c>
      <c r="N42" s="57" t="str">
        <f aca="false">IF($M42&lt;&gt;"",$M42*$G42,"")</f>
        <v/>
      </c>
      <c r="O42" s="57" t="str">
        <f aca="false">IF($N42&lt;&gt;"",$N42*$H42,"")</f>
        <v/>
      </c>
      <c r="P42" s="58" t="str">
        <f aca="false">IF($D42&gt;0,($D42*$E42)*0.05,"")</f>
        <v/>
      </c>
      <c r="Q42" s="58" t="str">
        <f aca="false">IF($P42&lt;&gt;"",$P42+$I42+$J42+$K42,"")</f>
        <v/>
      </c>
      <c r="R42" s="59" t="str">
        <f aca="false">IF($O42&lt;&gt;"",$O42+$Q42,"")</f>
        <v/>
      </c>
      <c r="S42" s="60" t="str">
        <f aca="false">IF($R42&lt;&gt;"",$R42/1000000000,"")</f>
        <v/>
      </c>
      <c r="T42" s="61" t="str">
        <f aca="false">IF(AND($R42&lt;&gt;"",$L42&gt;0),$R42*$L42,"")</f>
        <v/>
      </c>
      <c r="U42" s="62" t="str">
        <f aca="false">IF($T42&lt;&gt;"",$T42/1000000000000,"")</f>
        <v/>
      </c>
      <c r="V42" s="63" t="str">
        <f aca="false">IF(AND($O42&lt;&gt;"",$Q42&gt;0),$O42/$Q42,"")</f>
        <v/>
      </c>
      <c r="W42" s="64" t="str">
        <f aca="false">IF(AND($R42&lt;&gt;"",$D42&gt;0),$R42/$D42,"")</f>
        <v/>
      </c>
      <c r="X42" s="65" t="str">
        <f aca="false">IF(AND($N42&lt;&gt;"",$R42&gt;0),$N42/$R42,"")</f>
        <v/>
      </c>
      <c r="Y42" s="66" t="str">
        <f aca="false">IF(AND($O42&lt;&gt;"",$R42&gt;0),$O42/$R42,"")</f>
        <v/>
      </c>
      <c r="Z42" s="66" t="str">
        <f aca="false">IF(AND($Q42&lt;&gt;"",$R42&gt;0),$Q42/$R42,"")</f>
        <v/>
      </c>
    </row>
    <row r="43" customFormat="false" ht="15" hidden="false" customHeight="false" outlineLevel="0" collapsed="false">
      <c r="A43" s="48" t="n">
        <v>40</v>
      </c>
      <c r="B43" s="49"/>
      <c r="C43" s="50"/>
      <c r="D43" s="51"/>
      <c r="E43" s="52"/>
      <c r="F43" s="53"/>
      <c r="G43" s="52"/>
      <c r="H43" s="54"/>
      <c r="I43" s="55"/>
      <c r="J43" s="55"/>
      <c r="K43" s="55"/>
      <c r="L43" s="56"/>
      <c r="M43" s="57" t="str">
        <f aca="false">IF($D43&gt;0,$D43*$E43*$F43,"")</f>
        <v/>
      </c>
      <c r="N43" s="57" t="str">
        <f aca="false">IF($M43&lt;&gt;"",$M43*$G43,"")</f>
        <v/>
      </c>
      <c r="O43" s="57" t="str">
        <f aca="false">IF($N43&lt;&gt;"",$N43*$H43,"")</f>
        <v/>
      </c>
      <c r="P43" s="58" t="str">
        <f aca="false">IF($D43&gt;0,($D43*$E43)*0.05,"")</f>
        <v/>
      </c>
      <c r="Q43" s="58" t="str">
        <f aca="false">IF($P43&lt;&gt;"",$P43+$I43+$J43+$K43,"")</f>
        <v/>
      </c>
      <c r="R43" s="59" t="str">
        <f aca="false">IF($O43&lt;&gt;"",$O43+$Q43,"")</f>
        <v/>
      </c>
      <c r="S43" s="60" t="str">
        <f aca="false">IF($R43&lt;&gt;"",$R43/1000000000,"")</f>
        <v/>
      </c>
      <c r="T43" s="61" t="str">
        <f aca="false">IF(AND($R43&lt;&gt;"",$L43&gt;0),$R43*$L43,"")</f>
        <v/>
      </c>
      <c r="U43" s="62" t="str">
        <f aca="false">IF($T43&lt;&gt;"",$T43/1000000000000,"")</f>
        <v/>
      </c>
      <c r="V43" s="63" t="str">
        <f aca="false">IF(AND($O43&lt;&gt;"",$Q43&gt;0),$O43/$Q43,"")</f>
        <v/>
      </c>
      <c r="W43" s="64" t="str">
        <f aca="false">IF(AND($R43&lt;&gt;"",$D43&gt;0),$R43/$D43,"")</f>
        <v/>
      </c>
      <c r="X43" s="65" t="str">
        <f aca="false">IF(AND($N43&lt;&gt;"",$R43&gt;0),$N43/$R43,"")</f>
        <v/>
      </c>
      <c r="Y43" s="66" t="str">
        <f aca="false">IF(AND($O43&lt;&gt;"",$R43&gt;0),$O43/$R43,"")</f>
        <v/>
      </c>
      <c r="Z43" s="66" t="str">
        <f aca="false">IF(AND($Q43&lt;&gt;"",$R43&gt;0),$Q43/$R43,"")</f>
        <v/>
      </c>
    </row>
    <row r="44" customFormat="false" ht="15" hidden="false" customHeight="false" outlineLevel="0" collapsed="false">
      <c r="A44" s="48" t="n">
        <v>41</v>
      </c>
      <c r="B44" s="49"/>
      <c r="C44" s="50"/>
      <c r="D44" s="51"/>
      <c r="E44" s="52"/>
      <c r="F44" s="53"/>
      <c r="G44" s="52"/>
      <c r="H44" s="54"/>
      <c r="I44" s="55"/>
      <c r="J44" s="55"/>
      <c r="K44" s="55"/>
      <c r="L44" s="56"/>
      <c r="M44" s="57" t="str">
        <f aca="false">IF($D44&gt;0,$D44*$E44*$F44,"")</f>
        <v/>
      </c>
      <c r="N44" s="57" t="str">
        <f aca="false">IF($M44&lt;&gt;"",$M44*$G44,"")</f>
        <v/>
      </c>
      <c r="O44" s="57" t="str">
        <f aca="false">IF($N44&lt;&gt;"",$N44*$H44,"")</f>
        <v/>
      </c>
      <c r="P44" s="58" t="str">
        <f aca="false">IF($D44&gt;0,($D44*$E44)*0.05,"")</f>
        <v/>
      </c>
      <c r="Q44" s="58" t="str">
        <f aca="false">IF($P44&lt;&gt;"",$P44+$I44+$J44+$K44,"")</f>
        <v/>
      </c>
      <c r="R44" s="59" t="str">
        <f aca="false">IF($O44&lt;&gt;"",$O44+$Q44,"")</f>
        <v/>
      </c>
      <c r="S44" s="60" t="str">
        <f aca="false">IF($R44&lt;&gt;"",$R44/1000000000,"")</f>
        <v/>
      </c>
      <c r="T44" s="61" t="str">
        <f aca="false">IF(AND($R44&lt;&gt;"",$L44&gt;0),$R44*$L44,"")</f>
        <v/>
      </c>
      <c r="U44" s="62" t="str">
        <f aca="false">IF($T44&lt;&gt;"",$T44/1000000000000,"")</f>
        <v/>
      </c>
      <c r="V44" s="63" t="str">
        <f aca="false">IF(AND($O44&lt;&gt;"",$Q44&gt;0),$O44/$Q44,"")</f>
        <v/>
      </c>
      <c r="W44" s="64" t="str">
        <f aca="false">IF(AND($R44&lt;&gt;"",$D44&gt;0),$R44/$D44,"")</f>
        <v/>
      </c>
      <c r="X44" s="65" t="str">
        <f aca="false">IF(AND($N44&lt;&gt;"",$R44&gt;0),$N44/$R44,"")</f>
        <v/>
      </c>
      <c r="Y44" s="66" t="str">
        <f aca="false">IF(AND($O44&lt;&gt;"",$R44&gt;0),$O44/$R44,"")</f>
        <v/>
      </c>
      <c r="Z44" s="66" t="str">
        <f aca="false">IF(AND($Q44&lt;&gt;"",$R44&gt;0),$Q44/$R44,"")</f>
        <v/>
      </c>
    </row>
    <row r="45" customFormat="false" ht="15" hidden="false" customHeight="false" outlineLevel="0" collapsed="false">
      <c r="A45" s="48" t="n">
        <v>42</v>
      </c>
      <c r="B45" s="49"/>
      <c r="C45" s="50"/>
      <c r="D45" s="51"/>
      <c r="E45" s="52"/>
      <c r="F45" s="53"/>
      <c r="G45" s="52"/>
      <c r="H45" s="54"/>
      <c r="I45" s="55"/>
      <c r="J45" s="55"/>
      <c r="K45" s="55"/>
      <c r="L45" s="56"/>
      <c r="M45" s="57" t="str">
        <f aca="false">IF($D45&gt;0,$D45*$E45*$F45,"")</f>
        <v/>
      </c>
      <c r="N45" s="57" t="str">
        <f aca="false">IF($M45&lt;&gt;"",$M45*$G45,"")</f>
        <v/>
      </c>
      <c r="O45" s="57" t="str">
        <f aca="false">IF($N45&lt;&gt;"",$N45*$H45,"")</f>
        <v/>
      </c>
      <c r="P45" s="58" t="str">
        <f aca="false">IF($D45&gt;0,($D45*$E45)*0.05,"")</f>
        <v/>
      </c>
      <c r="Q45" s="58" t="str">
        <f aca="false">IF($P45&lt;&gt;"",$P45+$I45+$J45+$K45,"")</f>
        <v/>
      </c>
      <c r="R45" s="59" t="str">
        <f aca="false">IF($O45&lt;&gt;"",$O45+$Q45,"")</f>
        <v/>
      </c>
      <c r="S45" s="60" t="str">
        <f aca="false">IF($R45&lt;&gt;"",$R45/1000000000,"")</f>
        <v/>
      </c>
      <c r="T45" s="61" t="str">
        <f aca="false">IF(AND($R45&lt;&gt;"",$L45&gt;0),$R45*$L45,"")</f>
        <v/>
      </c>
      <c r="U45" s="62" t="str">
        <f aca="false">IF($T45&lt;&gt;"",$T45/1000000000000,"")</f>
        <v/>
      </c>
      <c r="V45" s="63" t="str">
        <f aca="false">IF(AND($O45&lt;&gt;"",$Q45&gt;0),$O45/$Q45,"")</f>
        <v/>
      </c>
      <c r="W45" s="64" t="str">
        <f aca="false">IF(AND($R45&lt;&gt;"",$D45&gt;0),$R45/$D45,"")</f>
        <v/>
      </c>
      <c r="X45" s="65" t="str">
        <f aca="false">IF(AND($N45&lt;&gt;"",$R45&gt;0),$N45/$R45,"")</f>
        <v/>
      </c>
      <c r="Y45" s="66" t="str">
        <f aca="false">IF(AND($O45&lt;&gt;"",$R45&gt;0),$O45/$R45,"")</f>
        <v/>
      </c>
      <c r="Z45" s="66" t="str">
        <f aca="false">IF(AND($Q45&lt;&gt;"",$R45&gt;0),$Q45/$R45,"")</f>
        <v/>
      </c>
    </row>
    <row r="46" customFormat="false" ht="15" hidden="false" customHeight="false" outlineLevel="0" collapsed="false">
      <c r="A46" s="48" t="n">
        <v>43</v>
      </c>
      <c r="B46" s="49"/>
      <c r="C46" s="50"/>
      <c r="D46" s="51"/>
      <c r="E46" s="52"/>
      <c r="F46" s="53"/>
      <c r="G46" s="52"/>
      <c r="H46" s="54"/>
      <c r="I46" s="55"/>
      <c r="J46" s="55"/>
      <c r="K46" s="55"/>
      <c r="L46" s="56"/>
      <c r="M46" s="57" t="str">
        <f aca="false">IF($D46&gt;0,$D46*$E46*$F46,"")</f>
        <v/>
      </c>
      <c r="N46" s="57" t="str">
        <f aca="false">IF($M46&lt;&gt;"",$M46*$G46,"")</f>
        <v/>
      </c>
      <c r="O46" s="57" t="str">
        <f aca="false">IF($N46&lt;&gt;"",$N46*$H46,"")</f>
        <v/>
      </c>
      <c r="P46" s="58" t="str">
        <f aca="false">IF($D46&gt;0,($D46*$E46)*0.05,"")</f>
        <v/>
      </c>
      <c r="Q46" s="58" t="str">
        <f aca="false">IF($P46&lt;&gt;"",$P46+$I46+$J46+$K46,"")</f>
        <v/>
      </c>
      <c r="R46" s="59" t="str">
        <f aca="false">IF($O46&lt;&gt;"",$O46+$Q46,"")</f>
        <v/>
      </c>
      <c r="S46" s="60" t="str">
        <f aca="false">IF($R46&lt;&gt;"",$R46/1000000000,"")</f>
        <v/>
      </c>
      <c r="T46" s="61" t="str">
        <f aca="false">IF(AND($R46&lt;&gt;"",$L46&gt;0),$R46*$L46,"")</f>
        <v/>
      </c>
      <c r="U46" s="62" t="str">
        <f aca="false">IF($T46&lt;&gt;"",$T46/1000000000000,"")</f>
        <v/>
      </c>
      <c r="V46" s="63" t="str">
        <f aca="false">IF(AND($O46&lt;&gt;"",$Q46&gt;0),$O46/$Q46,"")</f>
        <v/>
      </c>
      <c r="W46" s="64" t="str">
        <f aca="false">IF(AND($R46&lt;&gt;"",$D46&gt;0),$R46/$D46,"")</f>
        <v/>
      </c>
      <c r="X46" s="65" t="str">
        <f aca="false">IF(AND($N46&lt;&gt;"",$R46&gt;0),$N46/$R46,"")</f>
        <v/>
      </c>
      <c r="Y46" s="66" t="str">
        <f aca="false">IF(AND($O46&lt;&gt;"",$R46&gt;0),$O46/$R46,"")</f>
        <v/>
      </c>
      <c r="Z46" s="66" t="str">
        <f aca="false">IF(AND($Q46&lt;&gt;"",$R46&gt;0),$Q46/$R46,"")</f>
        <v/>
      </c>
    </row>
    <row r="47" customFormat="false" ht="15" hidden="false" customHeight="false" outlineLevel="0" collapsed="false">
      <c r="A47" s="48" t="n">
        <v>44</v>
      </c>
      <c r="B47" s="49"/>
      <c r="C47" s="50"/>
      <c r="D47" s="51"/>
      <c r="E47" s="52"/>
      <c r="F47" s="53"/>
      <c r="G47" s="52"/>
      <c r="H47" s="54"/>
      <c r="I47" s="55"/>
      <c r="J47" s="55"/>
      <c r="K47" s="55"/>
      <c r="L47" s="56"/>
      <c r="M47" s="57" t="str">
        <f aca="false">IF($D47&gt;0,$D47*$E47*$F47,"")</f>
        <v/>
      </c>
      <c r="N47" s="57" t="str">
        <f aca="false">IF($M47&lt;&gt;"",$M47*$G47,"")</f>
        <v/>
      </c>
      <c r="O47" s="57" t="str">
        <f aca="false">IF($N47&lt;&gt;"",$N47*$H47,"")</f>
        <v/>
      </c>
      <c r="P47" s="58" t="str">
        <f aca="false">IF($D47&gt;0,($D47*$E47)*0.05,"")</f>
        <v/>
      </c>
      <c r="Q47" s="58" t="str">
        <f aca="false">IF($P47&lt;&gt;"",$P47+$I47+$J47+$K47,"")</f>
        <v/>
      </c>
      <c r="R47" s="59" t="str">
        <f aca="false">IF($O47&lt;&gt;"",$O47+$Q47,"")</f>
        <v/>
      </c>
      <c r="S47" s="60" t="str">
        <f aca="false">IF($R47&lt;&gt;"",$R47/1000000000,"")</f>
        <v/>
      </c>
      <c r="T47" s="61" t="str">
        <f aca="false">IF(AND($R47&lt;&gt;"",$L47&gt;0),$R47*$L47,"")</f>
        <v/>
      </c>
      <c r="U47" s="62" t="str">
        <f aca="false">IF($T47&lt;&gt;"",$T47/1000000000000,"")</f>
        <v/>
      </c>
      <c r="V47" s="63" t="str">
        <f aca="false">IF(AND($O47&lt;&gt;"",$Q47&gt;0),$O47/$Q47,"")</f>
        <v/>
      </c>
      <c r="W47" s="64" t="str">
        <f aca="false">IF(AND($R47&lt;&gt;"",$D47&gt;0),$R47/$D47,"")</f>
        <v/>
      </c>
      <c r="X47" s="65" t="str">
        <f aca="false">IF(AND($N47&lt;&gt;"",$R47&gt;0),$N47/$R47,"")</f>
        <v/>
      </c>
      <c r="Y47" s="66" t="str">
        <f aca="false">IF(AND($O47&lt;&gt;"",$R47&gt;0),$O47/$R47,"")</f>
        <v/>
      </c>
      <c r="Z47" s="66" t="str">
        <f aca="false">IF(AND($Q47&lt;&gt;"",$R47&gt;0),$Q47/$R47,"")</f>
        <v/>
      </c>
    </row>
    <row r="48" customFormat="false" ht="15" hidden="false" customHeight="false" outlineLevel="0" collapsed="false">
      <c r="A48" s="48" t="n">
        <v>45</v>
      </c>
      <c r="B48" s="49"/>
      <c r="C48" s="50"/>
      <c r="D48" s="51"/>
      <c r="E48" s="52"/>
      <c r="F48" s="53"/>
      <c r="G48" s="52"/>
      <c r="H48" s="54"/>
      <c r="I48" s="55"/>
      <c r="J48" s="55"/>
      <c r="K48" s="55"/>
      <c r="L48" s="56"/>
      <c r="M48" s="57" t="str">
        <f aca="false">IF($D48&gt;0,$D48*$E48*$F48,"")</f>
        <v/>
      </c>
      <c r="N48" s="57" t="str">
        <f aca="false">IF($M48&lt;&gt;"",$M48*$G48,"")</f>
        <v/>
      </c>
      <c r="O48" s="57" t="str">
        <f aca="false">IF($N48&lt;&gt;"",$N48*$H48,"")</f>
        <v/>
      </c>
      <c r="P48" s="58" t="str">
        <f aca="false">IF($D48&gt;0,($D48*$E48)*0.05,"")</f>
        <v/>
      </c>
      <c r="Q48" s="58" t="str">
        <f aca="false">IF($P48&lt;&gt;"",$P48+$I48+$J48+$K48,"")</f>
        <v/>
      </c>
      <c r="R48" s="59" t="str">
        <f aca="false">IF($O48&lt;&gt;"",$O48+$Q48,"")</f>
        <v/>
      </c>
      <c r="S48" s="60" t="str">
        <f aca="false">IF($R48&lt;&gt;"",$R48/1000000000,"")</f>
        <v/>
      </c>
      <c r="T48" s="61" t="str">
        <f aca="false">IF(AND($R48&lt;&gt;"",$L48&gt;0),$R48*$L48,"")</f>
        <v/>
      </c>
      <c r="U48" s="62" t="str">
        <f aca="false">IF($T48&lt;&gt;"",$T48/1000000000000,"")</f>
        <v/>
      </c>
      <c r="V48" s="63" t="str">
        <f aca="false">IF(AND($O48&lt;&gt;"",$Q48&gt;0),$O48/$Q48,"")</f>
        <v/>
      </c>
      <c r="W48" s="64" t="str">
        <f aca="false">IF(AND($R48&lt;&gt;"",$D48&gt;0),$R48/$D48,"")</f>
        <v/>
      </c>
      <c r="X48" s="65" t="str">
        <f aca="false">IF(AND($N48&lt;&gt;"",$R48&gt;0),$N48/$R48,"")</f>
        <v/>
      </c>
      <c r="Y48" s="66" t="str">
        <f aca="false">IF(AND($O48&lt;&gt;"",$R48&gt;0),$O48/$R48,"")</f>
        <v/>
      </c>
      <c r="Z48" s="66" t="str">
        <f aca="false">IF(AND($Q48&lt;&gt;"",$R48&gt;0),$Q48/$R48,"")</f>
        <v/>
      </c>
    </row>
    <row r="49" customFormat="false" ht="15" hidden="false" customHeight="false" outlineLevel="0" collapsed="false">
      <c r="A49" s="48" t="n">
        <v>46</v>
      </c>
      <c r="B49" s="49"/>
      <c r="C49" s="50"/>
      <c r="D49" s="51"/>
      <c r="E49" s="52"/>
      <c r="F49" s="53"/>
      <c r="G49" s="52"/>
      <c r="H49" s="54"/>
      <c r="I49" s="55"/>
      <c r="J49" s="55"/>
      <c r="K49" s="55"/>
      <c r="L49" s="56"/>
      <c r="M49" s="57" t="str">
        <f aca="false">IF($D49&gt;0,$D49*$E49*$F49,"")</f>
        <v/>
      </c>
      <c r="N49" s="57" t="str">
        <f aca="false">IF($M49&lt;&gt;"",$M49*$G49,"")</f>
        <v/>
      </c>
      <c r="O49" s="57" t="str">
        <f aca="false">IF($N49&lt;&gt;"",$N49*$H49,"")</f>
        <v/>
      </c>
      <c r="P49" s="58" t="str">
        <f aca="false">IF($D49&gt;0,($D49*$E49)*0.05,"")</f>
        <v/>
      </c>
      <c r="Q49" s="58" t="str">
        <f aca="false">IF($P49&lt;&gt;"",$P49+$I49+$J49+$K49,"")</f>
        <v/>
      </c>
      <c r="R49" s="59" t="str">
        <f aca="false">IF($O49&lt;&gt;"",$O49+$Q49,"")</f>
        <v/>
      </c>
      <c r="S49" s="60" t="str">
        <f aca="false">IF($R49&lt;&gt;"",$R49/1000000000,"")</f>
        <v/>
      </c>
      <c r="T49" s="61" t="str">
        <f aca="false">IF(AND($R49&lt;&gt;"",$L49&gt;0),$R49*$L49,"")</f>
        <v/>
      </c>
      <c r="U49" s="62" t="str">
        <f aca="false">IF($T49&lt;&gt;"",$T49/1000000000000,"")</f>
        <v/>
      </c>
      <c r="V49" s="63" t="str">
        <f aca="false">IF(AND($O49&lt;&gt;"",$Q49&gt;0),$O49/$Q49,"")</f>
        <v/>
      </c>
      <c r="W49" s="64" t="str">
        <f aca="false">IF(AND($R49&lt;&gt;"",$D49&gt;0),$R49/$D49,"")</f>
        <v/>
      </c>
      <c r="X49" s="65" t="str">
        <f aca="false">IF(AND($N49&lt;&gt;"",$R49&gt;0),$N49/$R49,"")</f>
        <v/>
      </c>
      <c r="Y49" s="66" t="str">
        <f aca="false">IF(AND($O49&lt;&gt;"",$R49&gt;0),$O49/$R49,"")</f>
        <v/>
      </c>
      <c r="Z49" s="66" t="str">
        <f aca="false">IF(AND($Q49&lt;&gt;"",$R49&gt;0),$Q49/$R49,"")</f>
        <v/>
      </c>
    </row>
    <row r="50" customFormat="false" ht="15" hidden="false" customHeight="false" outlineLevel="0" collapsed="false">
      <c r="A50" s="48" t="n">
        <v>47</v>
      </c>
      <c r="B50" s="49"/>
      <c r="C50" s="50"/>
      <c r="D50" s="51"/>
      <c r="E50" s="52"/>
      <c r="F50" s="53"/>
      <c r="G50" s="52"/>
      <c r="H50" s="54"/>
      <c r="I50" s="55"/>
      <c r="J50" s="55"/>
      <c r="K50" s="55"/>
      <c r="L50" s="56"/>
      <c r="M50" s="57" t="str">
        <f aca="false">IF($D50&gt;0,$D50*$E50*$F50,"")</f>
        <v/>
      </c>
      <c r="N50" s="57" t="str">
        <f aca="false">IF($M50&lt;&gt;"",$M50*$G50,"")</f>
        <v/>
      </c>
      <c r="O50" s="57" t="str">
        <f aca="false">IF($N50&lt;&gt;"",$N50*$H50,"")</f>
        <v/>
      </c>
      <c r="P50" s="58" t="str">
        <f aca="false">IF($D50&gt;0,($D50*$E50)*0.05,"")</f>
        <v/>
      </c>
      <c r="Q50" s="58" t="str">
        <f aca="false">IF($P50&lt;&gt;"",$P50+$I50+$J50+$K50,"")</f>
        <v/>
      </c>
      <c r="R50" s="59" t="str">
        <f aca="false">IF($O50&lt;&gt;"",$O50+$Q50,"")</f>
        <v/>
      </c>
      <c r="S50" s="60" t="str">
        <f aca="false">IF($R50&lt;&gt;"",$R50/1000000000,"")</f>
        <v/>
      </c>
      <c r="T50" s="61" t="str">
        <f aca="false">IF(AND($R50&lt;&gt;"",$L50&gt;0),$R50*$L50,"")</f>
        <v/>
      </c>
      <c r="U50" s="62" t="str">
        <f aca="false">IF($T50&lt;&gt;"",$T50/1000000000000,"")</f>
        <v/>
      </c>
      <c r="V50" s="63" t="str">
        <f aca="false">IF(AND($O50&lt;&gt;"",$Q50&gt;0),$O50/$Q50,"")</f>
        <v/>
      </c>
      <c r="W50" s="64" t="str">
        <f aca="false">IF(AND($R50&lt;&gt;"",$D50&gt;0),$R50/$D50,"")</f>
        <v/>
      </c>
      <c r="X50" s="65" t="str">
        <f aca="false">IF(AND($N50&lt;&gt;"",$R50&gt;0),$N50/$R50,"")</f>
        <v/>
      </c>
      <c r="Y50" s="66" t="str">
        <f aca="false">IF(AND($O50&lt;&gt;"",$R50&gt;0),$O50/$R50,"")</f>
        <v/>
      </c>
      <c r="Z50" s="66" t="str">
        <f aca="false">IF(AND($Q50&lt;&gt;"",$R50&gt;0),$Q50/$R50,"")</f>
        <v/>
      </c>
    </row>
    <row r="51" customFormat="false" ht="15" hidden="false" customHeight="false" outlineLevel="0" collapsed="false">
      <c r="A51" s="48" t="n">
        <v>48</v>
      </c>
      <c r="B51" s="49"/>
      <c r="C51" s="50"/>
      <c r="D51" s="51"/>
      <c r="E51" s="52"/>
      <c r="F51" s="53"/>
      <c r="G51" s="52"/>
      <c r="H51" s="54"/>
      <c r="I51" s="55"/>
      <c r="J51" s="55"/>
      <c r="K51" s="55"/>
      <c r="L51" s="56"/>
      <c r="M51" s="57" t="str">
        <f aca="false">IF($D51&gt;0,$D51*$E51*$F51,"")</f>
        <v/>
      </c>
      <c r="N51" s="57" t="str">
        <f aca="false">IF($M51&lt;&gt;"",$M51*$G51,"")</f>
        <v/>
      </c>
      <c r="O51" s="57" t="str">
        <f aca="false">IF($N51&lt;&gt;"",$N51*$H51,"")</f>
        <v/>
      </c>
      <c r="P51" s="58" t="str">
        <f aca="false">IF($D51&gt;0,($D51*$E51)*0.05,"")</f>
        <v/>
      </c>
      <c r="Q51" s="58" t="str">
        <f aca="false">IF($P51&lt;&gt;"",$P51+$I51+$J51+$K51,"")</f>
        <v/>
      </c>
      <c r="R51" s="59" t="str">
        <f aca="false">IF($O51&lt;&gt;"",$O51+$Q51,"")</f>
        <v/>
      </c>
      <c r="S51" s="60" t="str">
        <f aca="false">IF($R51&lt;&gt;"",$R51/1000000000,"")</f>
        <v/>
      </c>
      <c r="T51" s="61" t="str">
        <f aca="false">IF(AND($R51&lt;&gt;"",$L51&gt;0),$R51*$L51,"")</f>
        <v/>
      </c>
      <c r="U51" s="62" t="str">
        <f aca="false">IF($T51&lt;&gt;"",$T51/1000000000000,"")</f>
        <v/>
      </c>
      <c r="V51" s="63" t="str">
        <f aca="false">IF(AND($O51&lt;&gt;"",$Q51&gt;0),$O51/$Q51,"")</f>
        <v/>
      </c>
      <c r="W51" s="64" t="str">
        <f aca="false">IF(AND($R51&lt;&gt;"",$D51&gt;0),$R51/$D51,"")</f>
        <v/>
      </c>
      <c r="X51" s="65" t="str">
        <f aca="false">IF(AND($N51&lt;&gt;"",$R51&gt;0),$N51/$R51,"")</f>
        <v/>
      </c>
      <c r="Y51" s="66" t="str">
        <f aca="false">IF(AND($O51&lt;&gt;"",$R51&gt;0),$O51/$R51,"")</f>
        <v/>
      </c>
      <c r="Z51" s="66" t="str">
        <f aca="false">IF(AND($Q51&lt;&gt;"",$R51&gt;0),$Q51/$R51,"")</f>
        <v/>
      </c>
    </row>
    <row r="52" customFormat="false" ht="15" hidden="false" customHeight="false" outlineLevel="0" collapsed="false">
      <c r="A52" s="48" t="n">
        <v>49</v>
      </c>
      <c r="B52" s="49"/>
      <c r="C52" s="50"/>
      <c r="D52" s="51"/>
      <c r="E52" s="52"/>
      <c r="F52" s="53"/>
      <c r="G52" s="52"/>
      <c r="H52" s="54"/>
      <c r="I52" s="55"/>
      <c r="J52" s="55"/>
      <c r="K52" s="55"/>
      <c r="L52" s="56"/>
      <c r="M52" s="57" t="str">
        <f aca="false">IF($D52&gt;0,$D52*$E52*$F52,"")</f>
        <v/>
      </c>
      <c r="N52" s="57" t="str">
        <f aca="false">IF($M52&lt;&gt;"",$M52*$G52,"")</f>
        <v/>
      </c>
      <c r="O52" s="57" t="str">
        <f aca="false">IF($N52&lt;&gt;"",$N52*$H52,"")</f>
        <v/>
      </c>
      <c r="P52" s="58" t="str">
        <f aca="false">IF($D52&gt;0,($D52*$E52)*0.05,"")</f>
        <v/>
      </c>
      <c r="Q52" s="58" t="str">
        <f aca="false">IF($P52&lt;&gt;"",$P52+$I52+$J52+$K52,"")</f>
        <v/>
      </c>
      <c r="R52" s="59" t="str">
        <f aca="false">IF($O52&lt;&gt;"",$O52+$Q52,"")</f>
        <v/>
      </c>
      <c r="S52" s="60" t="str">
        <f aca="false">IF($R52&lt;&gt;"",$R52/1000000000,"")</f>
        <v/>
      </c>
      <c r="T52" s="61" t="str">
        <f aca="false">IF(AND($R52&lt;&gt;"",$L52&gt;0),$R52*$L52,"")</f>
        <v/>
      </c>
      <c r="U52" s="62" t="str">
        <f aca="false">IF($T52&lt;&gt;"",$T52/1000000000000,"")</f>
        <v/>
      </c>
      <c r="V52" s="63" t="str">
        <f aca="false">IF(AND($O52&lt;&gt;"",$Q52&gt;0),$O52/$Q52,"")</f>
        <v/>
      </c>
      <c r="W52" s="64" t="str">
        <f aca="false">IF(AND($R52&lt;&gt;"",$D52&gt;0),$R52/$D52,"")</f>
        <v/>
      </c>
      <c r="X52" s="65" t="str">
        <f aca="false">IF(AND($N52&lt;&gt;"",$R52&gt;0),$N52/$R52,"")</f>
        <v/>
      </c>
      <c r="Y52" s="66" t="str">
        <f aca="false">IF(AND($O52&lt;&gt;"",$R52&gt;0),$O52/$R52,"")</f>
        <v/>
      </c>
      <c r="Z52" s="66" t="str">
        <f aca="false">IF(AND($Q52&lt;&gt;"",$R52&gt;0),$Q52/$R52,"")</f>
        <v/>
      </c>
    </row>
    <row r="53" customFormat="false" ht="15" hidden="false" customHeight="false" outlineLevel="0" collapsed="false">
      <c r="A53" s="48" t="n">
        <v>50</v>
      </c>
      <c r="B53" s="49"/>
      <c r="C53" s="50"/>
      <c r="D53" s="51"/>
      <c r="E53" s="52"/>
      <c r="F53" s="53"/>
      <c r="G53" s="52"/>
      <c r="H53" s="54"/>
      <c r="I53" s="55"/>
      <c r="J53" s="55"/>
      <c r="K53" s="55"/>
      <c r="L53" s="56"/>
      <c r="M53" s="57" t="str">
        <f aca="false">IF($D53&gt;0,$D53*$E53*$F53,"")</f>
        <v/>
      </c>
      <c r="N53" s="57" t="str">
        <f aca="false">IF($M53&lt;&gt;"",$M53*$G53,"")</f>
        <v/>
      </c>
      <c r="O53" s="57" t="str">
        <f aca="false">IF($N53&lt;&gt;"",$N53*$H53,"")</f>
        <v/>
      </c>
      <c r="P53" s="58" t="str">
        <f aca="false">IF($D53&gt;0,($D53*$E53)*0.05,"")</f>
        <v/>
      </c>
      <c r="Q53" s="58" t="str">
        <f aca="false">IF($P53&lt;&gt;"",$P53+$I53+$J53+$K53,"")</f>
        <v/>
      </c>
      <c r="R53" s="59" t="str">
        <f aca="false">IF($O53&lt;&gt;"",$O53+$Q53,"")</f>
        <v/>
      </c>
      <c r="S53" s="60" t="str">
        <f aca="false">IF($R53&lt;&gt;"",$R53/1000000000,"")</f>
        <v/>
      </c>
      <c r="T53" s="61" t="str">
        <f aca="false">IF(AND($R53&lt;&gt;"",$L53&gt;0),$R53*$L53,"")</f>
        <v/>
      </c>
      <c r="U53" s="62" t="str">
        <f aca="false">IF($T53&lt;&gt;"",$T53/1000000000000,"")</f>
        <v/>
      </c>
      <c r="V53" s="63" t="str">
        <f aca="false">IF(AND($O53&lt;&gt;"",$Q53&gt;0),$O53/$Q53,"")</f>
        <v/>
      </c>
      <c r="W53" s="64" t="str">
        <f aca="false">IF(AND($R53&lt;&gt;"",$D53&gt;0),$R53/$D53,"")</f>
        <v/>
      </c>
      <c r="X53" s="65" t="str">
        <f aca="false">IF(AND($N53&lt;&gt;"",$R53&gt;0),$N53/$R53,"")</f>
        <v/>
      </c>
      <c r="Y53" s="66" t="str">
        <f aca="false">IF(AND($O53&lt;&gt;"",$R53&gt;0),$O53/$R53,"")</f>
        <v/>
      </c>
      <c r="Z53" s="66" t="str">
        <f aca="false">IF(AND($Q53&lt;&gt;"",$R53&gt;0),$Q53/$R53,"")</f>
        <v/>
      </c>
    </row>
    <row r="54" customFormat="false" ht="15" hidden="false" customHeight="fals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sheetData>
  <mergeCells count="8">
    <mergeCell ref="B1:U1"/>
    <mergeCell ref="B2:C2"/>
    <mergeCell ref="D2:H2"/>
    <mergeCell ref="I2:K2"/>
    <mergeCell ref="M2:O2"/>
    <mergeCell ref="P2:Q2"/>
    <mergeCell ref="R2:U2"/>
    <mergeCell ref="V2:Z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5"/>
    <col collapsed="false" customWidth="true" hidden="false" outlineLevel="0" max="22" min="3" style="0" width="18"/>
  </cols>
  <sheetData>
    <row r="1" customFormat="false" ht="15" hidden="false" customHeight="false" outlineLevel="0" collapsed="false">
      <c r="A1" s="1"/>
      <c r="B1" s="1"/>
      <c r="C1" s="1"/>
      <c r="D1" s="1"/>
      <c r="E1" s="1"/>
      <c r="F1" s="1"/>
      <c r="G1" s="1"/>
      <c r="H1" s="1"/>
      <c r="I1" s="1"/>
      <c r="J1" s="1"/>
      <c r="K1" s="1"/>
      <c r="L1" s="1"/>
      <c r="M1" s="1"/>
      <c r="N1" s="1"/>
      <c r="O1" s="1"/>
      <c r="P1" s="1"/>
      <c r="Q1" s="1"/>
      <c r="R1" s="1"/>
      <c r="S1" s="1"/>
      <c r="T1" s="1"/>
      <c r="U1" s="1"/>
      <c r="V1" s="1"/>
      <c r="W1" s="1"/>
    </row>
    <row r="2" customFormat="false" ht="15" hidden="false" customHeight="false" outlineLevel="0" collapsed="false">
      <c r="A2" s="1"/>
      <c r="B2" s="35" t="s">
        <v>93</v>
      </c>
      <c r="C2" s="35"/>
      <c r="D2" s="35"/>
      <c r="E2" s="35"/>
      <c r="F2" s="35"/>
      <c r="G2" s="35"/>
      <c r="H2" s="35"/>
      <c r="I2" s="35"/>
      <c r="J2" s="35"/>
      <c r="K2" s="35"/>
      <c r="L2" s="35"/>
      <c r="M2" s="1"/>
      <c r="N2" s="1"/>
      <c r="O2" s="1"/>
      <c r="P2" s="1"/>
      <c r="Q2" s="1"/>
      <c r="R2" s="1"/>
      <c r="S2" s="1"/>
      <c r="T2" s="1"/>
      <c r="U2" s="1"/>
      <c r="V2" s="1"/>
      <c r="W2" s="1"/>
    </row>
    <row r="3" customFormat="false" ht="15" hidden="false" customHeight="false" outlineLevel="0" collapsed="false">
      <c r="A3" s="1"/>
      <c r="B3" s="1"/>
      <c r="C3" s="39" t="s">
        <v>94</v>
      </c>
      <c r="D3" s="39" t="s">
        <v>95</v>
      </c>
      <c r="E3" s="39" t="s">
        <v>96</v>
      </c>
      <c r="F3" s="39" t="s">
        <v>97</v>
      </c>
      <c r="G3" s="39" t="s">
        <v>98</v>
      </c>
      <c r="H3" s="39" t="s">
        <v>99</v>
      </c>
      <c r="I3" s="39" t="s">
        <v>100</v>
      </c>
      <c r="J3" s="39" t="s">
        <v>101</v>
      </c>
      <c r="K3" s="39" t="s">
        <v>102</v>
      </c>
      <c r="L3" s="39" t="s">
        <v>103</v>
      </c>
      <c r="M3" s="39" t="s">
        <v>104</v>
      </c>
      <c r="N3" s="39" t="s">
        <v>105</v>
      </c>
      <c r="O3" s="39" t="s">
        <v>106</v>
      </c>
      <c r="P3" s="39" t="s">
        <v>107</v>
      </c>
      <c r="Q3" s="39" t="s">
        <v>108</v>
      </c>
      <c r="R3" s="39" t="s">
        <v>109</v>
      </c>
      <c r="S3" s="39" t="s">
        <v>110</v>
      </c>
      <c r="T3" s="39" t="s">
        <v>111</v>
      </c>
      <c r="U3" s="39" t="s">
        <v>112</v>
      </c>
      <c r="V3" s="39" t="s">
        <v>113</v>
      </c>
      <c r="W3" s="1"/>
    </row>
    <row r="4" customFormat="false" ht="15" hidden="false" customHeight="false" outlineLevel="0" collapsed="false">
      <c r="A4" s="67" t="n">
        <v>1</v>
      </c>
      <c r="B4" s="68" t="s">
        <v>2</v>
      </c>
      <c r="C4" s="69"/>
      <c r="D4" s="69"/>
      <c r="E4" s="69"/>
      <c r="F4" s="69"/>
      <c r="G4" s="69"/>
      <c r="H4" s="69"/>
      <c r="I4" s="69"/>
      <c r="J4" s="69"/>
      <c r="K4" s="69"/>
      <c r="L4" s="69"/>
      <c r="M4" s="69"/>
      <c r="N4" s="69"/>
      <c r="O4" s="69"/>
      <c r="P4" s="69"/>
      <c r="Q4" s="69"/>
      <c r="R4" s="69"/>
      <c r="S4" s="69"/>
      <c r="T4" s="69"/>
      <c r="U4" s="69"/>
      <c r="V4" s="69"/>
      <c r="W4" s="1"/>
    </row>
    <row r="5" customFormat="false" ht="15" hidden="false" customHeight="false" outlineLevel="0" collapsed="false">
      <c r="A5" s="67" t="n">
        <v>2</v>
      </c>
      <c r="B5" s="70" t="s">
        <v>3</v>
      </c>
      <c r="C5" s="71" t="s">
        <v>4</v>
      </c>
      <c r="D5" s="71" t="s">
        <v>85</v>
      </c>
      <c r="E5" s="71"/>
      <c r="F5" s="71"/>
      <c r="G5" s="71"/>
      <c r="H5" s="71"/>
      <c r="I5" s="71"/>
      <c r="J5" s="71"/>
      <c r="K5" s="71"/>
      <c r="L5" s="71"/>
      <c r="M5" s="71"/>
      <c r="N5" s="71"/>
      <c r="O5" s="71"/>
      <c r="P5" s="71"/>
      <c r="Q5" s="71"/>
      <c r="R5" s="71"/>
      <c r="S5" s="71"/>
      <c r="T5" s="71"/>
      <c r="U5" s="71"/>
      <c r="V5" s="71"/>
      <c r="W5" s="1"/>
    </row>
    <row r="6" customFormat="false" ht="15" hidden="false" customHeight="false" outlineLevel="0" collapsed="false">
      <c r="A6" s="67" t="n">
        <v>3</v>
      </c>
      <c r="B6" s="70" t="s">
        <v>6</v>
      </c>
      <c r="C6" s="50" t="n">
        <v>1600</v>
      </c>
      <c r="D6" s="50" t="n">
        <v>1324</v>
      </c>
      <c r="E6" s="50"/>
      <c r="F6" s="50"/>
      <c r="G6" s="50"/>
      <c r="H6" s="50"/>
      <c r="I6" s="50"/>
      <c r="J6" s="50"/>
      <c r="K6" s="50"/>
      <c r="L6" s="50"/>
      <c r="M6" s="50"/>
      <c r="N6" s="50"/>
      <c r="O6" s="50"/>
      <c r="P6" s="50"/>
      <c r="Q6" s="50"/>
      <c r="R6" s="50"/>
      <c r="S6" s="50"/>
      <c r="T6" s="50"/>
      <c r="U6" s="50"/>
      <c r="V6" s="50"/>
      <c r="W6" s="1"/>
    </row>
    <row r="7" customFormat="false" ht="15" hidden="false" customHeight="false" outlineLevel="0" collapsed="false">
      <c r="A7" s="1"/>
      <c r="B7" s="1"/>
      <c r="C7" s="1"/>
      <c r="D7" s="1"/>
      <c r="E7" s="1"/>
      <c r="F7" s="1"/>
      <c r="G7" s="1"/>
      <c r="H7" s="1"/>
      <c r="I7" s="1"/>
      <c r="J7" s="1"/>
      <c r="K7" s="1"/>
      <c r="L7" s="1"/>
      <c r="M7" s="1"/>
      <c r="N7" s="1"/>
      <c r="O7" s="1"/>
      <c r="P7" s="1"/>
      <c r="Q7" s="1"/>
      <c r="R7" s="1"/>
      <c r="S7" s="1"/>
      <c r="T7" s="1"/>
      <c r="U7" s="1"/>
      <c r="V7" s="1"/>
      <c r="W7" s="1"/>
    </row>
    <row r="8" customFormat="false" ht="15" hidden="false" customHeight="false" outlineLevel="0" collapsed="false">
      <c r="A8" s="67" t="n">
        <v>5</v>
      </c>
      <c r="B8" s="72" t="s">
        <v>9</v>
      </c>
      <c r="C8" s="73" t="n">
        <v>110000000</v>
      </c>
      <c r="D8" s="73" t="n">
        <v>20000000</v>
      </c>
      <c r="E8" s="73"/>
      <c r="F8" s="73"/>
      <c r="G8" s="73"/>
      <c r="H8" s="73"/>
      <c r="I8" s="73"/>
      <c r="J8" s="73"/>
      <c r="K8" s="73"/>
      <c r="L8" s="73"/>
      <c r="M8" s="73"/>
      <c r="N8" s="73"/>
      <c r="O8" s="73"/>
      <c r="P8" s="73"/>
      <c r="Q8" s="73"/>
      <c r="R8" s="73"/>
      <c r="S8" s="73"/>
      <c r="T8" s="73"/>
      <c r="U8" s="73"/>
      <c r="V8" s="73"/>
      <c r="W8" s="1"/>
    </row>
    <row r="9" customFormat="false" ht="15" hidden="false" customHeight="false" outlineLevel="0" collapsed="false">
      <c r="A9" s="67" t="n">
        <v>6</v>
      </c>
      <c r="B9" s="70" t="s">
        <v>11</v>
      </c>
      <c r="C9" s="56" t="n">
        <v>0.75</v>
      </c>
      <c r="D9" s="56" t="n">
        <v>0.8</v>
      </c>
      <c r="E9" s="56"/>
      <c r="F9" s="56"/>
      <c r="G9" s="56"/>
      <c r="H9" s="56"/>
      <c r="I9" s="56"/>
      <c r="J9" s="56"/>
      <c r="K9" s="56"/>
      <c r="L9" s="56"/>
      <c r="M9" s="56"/>
      <c r="N9" s="56"/>
      <c r="O9" s="56"/>
      <c r="P9" s="56"/>
      <c r="Q9" s="56"/>
      <c r="R9" s="56"/>
      <c r="S9" s="56"/>
      <c r="T9" s="56"/>
      <c r="U9" s="56"/>
      <c r="V9" s="56"/>
      <c r="W9" s="1"/>
    </row>
    <row r="10" customFormat="false" ht="15" hidden="false" customHeight="false" outlineLevel="0" collapsed="false">
      <c r="A10" s="67" t="n">
        <v>7</v>
      </c>
      <c r="B10" s="70" t="s">
        <v>114</v>
      </c>
      <c r="C10" s="74" t="n">
        <v>4.5</v>
      </c>
      <c r="D10" s="74" t="n">
        <v>4</v>
      </c>
      <c r="E10" s="74"/>
      <c r="F10" s="74"/>
      <c r="G10" s="74"/>
      <c r="H10" s="74"/>
      <c r="I10" s="74"/>
      <c r="J10" s="74"/>
      <c r="K10" s="74"/>
      <c r="L10" s="74"/>
      <c r="M10" s="74"/>
      <c r="N10" s="74"/>
      <c r="O10" s="74"/>
      <c r="P10" s="74"/>
      <c r="Q10" s="74"/>
      <c r="R10" s="74"/>
      <c r="S10" s="74"/>
      <c r="T10" s="74"/>
      <c r="U10" s="74"/>
      <c r="V10" s="74"/>
      <c r="W10" s="1"/>
    </row>
    <row r="11" customFormat="false" ht="15" hidden="false" customHeight="false" outlineLevel="0" collapsed="false">
      <c r="A11" s="67" t="n">
        <v>8</v>
      </c>
      <c r="B11" s="70" t="s">
        <v>61</v>
      </c>
      <c r="C11" s="75" t="n">
        <v>0.1</v>
      </c>
      <c r="D11" s="75" t="n">
        <v>0.15</v>
      </c>
      <c r="E11" s="75"/>
      <c r="F11" s="75"/>
      <c r="G11" s="75"/>
      <c r="H11" s="75"/>
      <c r="I11" s="75"/>
      <c r="J11" s="75"/>
      <c r="K11" s="75"/>
      <c r="L11" s="75"/>
      <c r="M11" s="75"/>
      <c r="N11" s="75"/>
      <c r="O11" s="75"/>
      <c r="P11" s="75"/>
      <c r="Q11" s="75"/>
      <c r="R11" s="75"/>
      <c r="S11" s="75"/>
      <c r="T11" s="75"/>
      <c r="U11" s="75"/>
      <c r="V11" s="75"/>
      <c r="W11" s="1"/>
    </row>
    <row r="12" customFormat="false" ht="15" hidden="false" customHeight="false" outlineLevel="0" collapsed="false">
      <c r="A12" s="67" t="n">
        <v>9</v>
      </c>
      <c r="B12" s="70" t="s">
        <v>115</v>
      </c>
      <c r="C12" s="74" t="n">
        <v>20</v>
      </c>
      <c r="D12" s="74" t="n">
        <v>20</v>
      </c>
      <c r="E12" s="74"/>
      <c r="F12" s="74"/>
      <c r="G12" s="74"/>
      <c r="H12" s="74"/>
      <c r="I12" s="74"/>
      <c r="J12" s="74"/>
      <c r="K12" s="74"/>
      <c r="L12" s="74"/>
      <c r="M12" s="74"/>
      <c r="N12" s="74"/>
      <c r="O12" s="74"/>
      <c r="P12" s="74"/>
      <c r="Q12" s="74"/>
      <c r="R12" s="74"/>
      <c r="S12" s="74"/>
      <c r="T12" s="74"/>
      <c r="U12" s="74"/>
      <c r="V12" s="74"/>
      <c r="W12" s="1"/>
    </row>
    <row r="13" customFormat="false" ht="15" hidden="false" customHeight="false" outlineLevel="0" collapsed="false">
      <c r="A13" s="67" t="n">
        <v>10</v>
      </c>
      <c r="B13" s="70" t="s">
        <v>116</v>
      </c>
      <c r="C13" s="50"/>
      <c r="D13" s="50"/>
      <c r="E13" s="50"/>
      <c r="F13" s="50"/>
      <c r="G13" s="50"/>
      <c r="H13" s="50"/>
      <c r="I13" s="50"/>
      <c r="J13" s="50"/>
      <c r="K13" s="50"/>
      <c r="L13" s="50"/>
      <c r="M13" s="50"/>
      <c r="N13" s="50"/>
      <c r="O13" s="50"/>
      <c r="P13" s="50"/>
      <c r="Q13" s="50"/>
      <c r="R13" s="50"/>
      <c r="S13" s="50"/>
      <c r="T13" s="50"/>
      <c r="U13" s="50"/>
      <c r="V13" s="50"/>
      <c r="W13" s="1"/>
    </row>
    <row r="14" customFormat="false" ht="15" hidden="false" customHeight="false" outlineLevel="0" collapsed="false">
      <c r="A14" s="1"/>
      <c r="B14" s="1"/>
      <c r="C14" s="1" t="n">
        <v>50000000</v>
      </c>
      <c r="D14" s="1" t="n">
        <v>16000000</v>
      </c>
      <c r="E14" s="1"/>
      <c r="F14" s="1"/>
      <c r="G14" s="1"/>
      <c r="H14" s="1"/>
      <c r="I14" s="1"/>
      <c r="J14" s="1"/>
      <c r="K14" s="1"/>
      <c r="L14" s="1"/>
      <c r="M14" s="1"/>
      <c r="N14" s="1"/>
      <c r="O14" s="1"/>
      <c r="P14" s="1"/>
      <c r="Q14" s="1"/>
      <c r="R14" s="1"/>
      <c r="S14" s="1"/>
      <c r="T14" s="1"/>
      <c r="U14" s="1"/>
      <c r="V14" s="1"/>
      <c r="W14" s="1"/>
    </row>
    <row r="15" customFormat="false" ht="15" hidden="false" customHeight="false" outlineLevel="0" collapsed="false">
      <c r="A15" s="67" t="n">
        <v>12</v>
      </c>
      <c r="B15" s="76" t="s">
        <v>54</v>
      </c>
      <c r="C15" s="77" t="n">
        <v>10000000</v>
      </c>
      <c r="D15" s="77" t="n">
        <v>0</v>
      </c>
      <c r="E15" s="77"/>
      <c r="F15" s="77"/>
      <c r="G15" s="77"/>
      <c r="H15" s="77"/>
      <c r="I15" s="77"/>
      <c r="J15" s="77"/>
      <c r="K15" s="77"/>
      <c r="L15" s="77"/>
      <c r="M15" s="77"/>
      <c r="N15" s="77"/>
      <c r="O15" s="77"/>
      <c r="P15" s="77"/>
      <c r="Q15" s="77"/>
      <c r="R15" s="77"/>
      <c r="S15" s="77"/>
      <c r="T15" s="77"/>
      <c r="U15" s="77"/>
      <c r="V15" s="77"/>
      <c r="W15" s="1"/>
    </row>
    <row r="16" customFormat="false" ht="15" hidden="false" customHeight="false" outlineLevel="0" collapsed="false">
      <c r="A16" s="67" t="n">
        <v>13</v>
      </c>
      <c r="B16" s="70" t="s">
        <v>23</v>
      </c>
      <c r="C16" s="56" t="n">
        <v>5000000</v>
      </c>
      <c r="D16" s="56" t="n">
        <v>0</v>
      </c>
      <c r="E16" s="56"/>
      <c r="F16" s="56"/>
      <c r="G16" s="56"/>
      <c r="H16" s="56"/>
      <c r="I16" s="56"/>
      <c r="J16" s="56"/>
      <c r="K16" s="56"/>
      <c r="L16" s="56"/>
      <c r="M16" s="56"/>
      <c r="N16" s="56"/>
      <c r="O16" s="56"/>
      <c r="P16" s="56"/>
      <c r="Q16" s="56"/>
      <c r="R16" s="56"/>
      <c r="S16" s="56"/>
      <c r="T16" s="56"/>
      <c r="U16" s="56"/>
      <c r="V16" s="56"/>
      <c r="W16" s="1"/>
    </row>
    <row r="17" customFormat="false" ht="15" hidden="false" customHeight="false" outlineLevel="0" collapsed="false">
      <c r="A17" s="67" t="n">
        <v>14</v>
      </c>
      <c r="B17" s="70" t="s">
        <v>24</v>
      </c>
      <c r="C17" s="56"/>
      <c r="D17" s="56"/>
      <c r="E17" s="56"/>
      <c r="F17" s="56"/>
      <c r="G17" s="56"/>
      <c r="H17" s="56"/>
      <c r="I17" s="56"/>
      <c r="J17" s="56"/>
      <c r="K17" s="56"/>
      <c r="L17" s="56"/>
      <c r="M17" s="56"/>
      <c r="N17" s="56"/>
      <c r="O17" s="56"/>
      <c r="P17" s="56"/>
      <c r="Q17" s="56"/>
      <c r="R17" s="56"/>
      <c r="S17" s="56"/>
      <c r="T17" s="56"/>
      <c r="U17" s="56"/>
      <c r="V17" s="56"/>
      <c r="W17" s="1"/>
    </row>
    <row r="18" customFormat="false" ht="15" hidden="false" customHeight="false" outlineLevel="0" collapsed="false">
      <c r="A18" s="67" t="n">
        <v>15</v>
      </c>
      <c r="B18" s="70" t="s">
        <v>26</v>
      </c>
      <c r="C18" s="56" t="n">
        <v>2900</v>
      </c>
      <c r="D18" s="56" t="n">
        <v>2900</v>
      </c>
      <c r="E18" s="56"/>
      <c r="F18" s="56"/>
      <c r="G18" s="56"/>
      <c r="H18" s="56"/>
      <c r="I18" s="56"/>
      <c r="J18" s="56"/>
      <c r="K18" s="56"/>
      <c r="L18" s="56"/>
      <c r="M18" s="56"/>
      <c r="N18" s="56"/>
      <c r="O18" s="56"/>
      <c r="P18" s="56"/>
      <c r="Q18" s="56"/>
      <c r="R18" s="56"/>
      <c r="S18" s="56"/>
      <c r="T18" s="56"/>
      <c r="U18" s="56"/>
      <c r="V18" s="56"/>
      <c r="W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c r="U19" s="1"/>
      <c r="V19" s="1"/>
      <c r="W19" s="1"/>
    </row>
    <row r="20" customFormat="false" ht="15" hidden="false" customHeight="false" outlineLevel="0" collapsed="false">
      <c r="A20" s="67" t="n">
        <v>17</v>
      </c>
      <c r="B20" s="78" t="s">
        <v>55</v>
      </c>
      <c r="C20" s="69"/>
      <c r="D20" s="69"/>
      <c r="E20" s="69"/>
      <c r="F20" s="69"/>
      <c r="G20" s="69"/>
      <c r="H20" s="69"/>
      <c r="I20" s="69"/>
      <c r="J20" s="69"/>
      <c r="K20" s="69"/>
      <c r="L20" s="69"/>
      <c r="M20" s="69"/>
      <c r="N20" s="69"/>
      <c r="O20" s="69"/>
      <c r="P20" s="69"/>
      <c r="Q20" s="69"/>
      <c r="R20" s="69"/>
      <c r="S20" s="69"/>
      <c r="T20" s="69"/>
      <c r="U20" s="69"/>
      <c r="V20" s="69"/>
      <c r="W20" s="1"/>
    </row>
    <row r="21" customFormat="false" ht="15" hidden="false" customHeight="false" outlineLevel="0" collapsed="false">
      <c r="A21" s="67" t="n">
        <v>18</v>
      </c>
      <c r="B21" s="70" t="s">
        <v>30</v>
      </c>
      <c r="C21" s="56"/>
      <c r="D21" s="56"/>
      <c r="E21" s="56"/>
      <c r="F21" s="56"/>
      <c r="G21" s="56"/>
      <c r="H21" s="56"/>
      <c r="I21" s="56"/>
      <c r="J21" s="56"/>
      <c r="K21" s="56"/>
      <c r="L21" s="56"/>
      <c r="M21" s="56"/>
      <c r="N21" s="56"/>
      <c r="O21" s="56"/>
      <c r="P21" s="56"/>
      <c r="Q21" s="56"/>
      <c r="R21" s="56"/>
      <c r="S21" s="56"/>
      <c r="T21" s="56"/>
      <c r="U21" s="56"/>
      <c r="V21" s="56"/>
      <c r="W21" s="1"/>
    </row>
    <row r="22" customFormat="false" ht="15" hidden="false" customHeight="false" outlineLevel="0" collapsed="false">
      <c r="A22" s="1"/>
      <c r="B22" s="1"/>
      <c r="C22" s="1"/>
      <c r="D22" s="1"/>
      <c r="E22" s="1"/>
      <c r="F22" s="1"/>
      <c r="G22" s="1"/>
      <c r="H22" s="1"/>
      <c r="I22" s="1"/>
      <c r="J22" s="1"/>
      <c r="K22" s="1"/>
      <c r="L22" s="1"/>
      <c r="M22" s="1"/>
      <c r="N22" s="1"/>
      <c r="O22" s="1"/>
      <c r="P22" s="1"/>
      <c r="Q22" s="1"/>
      <c r="R22" s="1"/>
      <c r="S22" s="1"/>
      <c r="T22" s="1"/>
      <c r="U22" s="1"/>
      <c r="V22" s="1"/>
      <c r="W22" s="1"/>
    </row>
    <row r="23" customFormat="false" ht="15" hidden="false" customHeight="false" outlineLevel="0" collapsed="false">
      <c r="A23" s="67" t="n">
        <v>20</v>
      </c>
      <c r="B23" s="79" t="s">
        <v>117</v>
      </c>
      <c r="C23" s="73"/>
      <c r="D23" s="73"/>
      <c r="E23" s="73"/>
      <c r="F23" s="73"/>
      <c r="G23" s="73"/>
      <c r="H23" s="73"/>
      <c r="I23" s="73"/>
      <c r="J23" s="73"/>
      <c r="K23" s="73"/>
      <c r="L23" s="73"/>
      <c r="M23" s="73"/>
      <c r="N23" s="73"/>
      <c r="O23" s="73"/>
      <c r="P23" s="73"/>
      <c r="Q23" s="73"/>
      <c r="R23" s="73"/>
      <c r="S23" s="73"/>
      <c r="T23" s="73"/>
      <c r="U23" s="73"/>
      <c r="V23" s="73"/>
      <c r="W23" s="1"/>
    </row>
    <row r="24" customFormat="false" ht="15" hidden="false" customHeight="false" outlineLevel="0" collapsed="false">
      <c r="A24" s="67" t="n">
        <v>21</v>
      </c>
      <c r="B24" s="80" t="s">
        <v>7</v>
      </c>
      <c r="C24" s="73" t="n">
        <f aca="false">IF(C9&gt;0,C9*C10*C11,"")</f>
        <v>0.3375</v>
      </c>
      <c r="D24" s="73" t="n">
        <f aca="false">IF(D9&gt;0,D9*D10*D11,"")</f>
        <v>0.48</v>
      </c>
      <c r="E24" s="73" t="str">
        <f aca="false">IF(E9&gt;0,E9*E10*E11,"")</f>
        <v/>
      </c>
      <c r="F24" s="73" t="str">
        <f aca="false">IF(F9&gt;0,F9*F10*F11,"")</f>
        <v/>
      </c>
      <c r="G24" s="73" t="str">
        <f aca="false">IF(G9&gt;0,G9*G10*G11,"")</f>
        <v/>
      </c>
      <c r="H24" s="73" t="str">
        <f aca="false">IF(H9&gt;0,H9*H10*H11,"")</f>
        <v/>
      </c>
      <c r="I24" s="73" t="str">
        <f aca="false">IF(I9&gt;0,I9*I10*I11,"")</f>
        <v/>
      </c>
      <c r="J24" s="73" t="str">
        <f aca="false">IF(J9&gt;0,J9*J10*J11,"")</f>
        <v/>
      </c>
      <c r="K24" s="73" t="str">
        <f aca="false">IF(K9&gt;0,K9*K10*K11,"")</f>
        <v/>
      </c>
      <c r="L24" s="73" t="str">
        <f aca="false">IF(L9&gt;0,L9*L10*L11,"")</f>
        <v/>
      </c>
      <c r="M24" s="73" t="str">
        <f aca="false">IF(M9&gt;0,M9*M10*M11,"")</f>
        <v/>
      </c>
      <c r="N24" s="73" t="str">
        <f aca="false">IF(N9&gt;0,N9*N10*N11,"")</f>
        <v/>
      </c>
      <c r="O24" s="73" t="str">
        <f aca="false">IF(O9&gt;0,O9*O10*O11,"")</f>
        <v/>
      </c>
      <c r="P24" s="73" t="str">
        <f aca="false">IF(P9&gt;0,P9*P10*P11,"")</f>
        <v/>
      </c>
      <c r="Q24" s="73" t="str">
        <f aca="false">IF(Q9&gt;0,Q9*Q10*Q11,"")</f>
        <v/>
      </c>
      <c r="R24" s="73" t="str">
        <f aca="false">IF(R9&gt;0,R9*R10*R11,"")</f>
        <v/>
      </c>
      <c r="S24" s="73" t="str">
        <f aca="false">IF(S9&gt;0,S9*S10*S11,"")</f>
        <v/>
      </c>
      <c r="T24" s="73" t="str">
        <f aca="false">IF(T9&gt;0,T9*T10*T11,"")</f>
        <v/>
      </c>
      <c r="U24" s="73" t="str">
        <f aca="false">IF(U9&gt;0,U9*U10*U11,"")</f>
        <v/>
      </c>
      <c r="V24" s="73" t="str">
        <f aca="false">IF(V9&gt;0,V9*V10*V11,"")</f>
        <v/>
      </c>
      <c r="W24" s="1"/>
    </row>
    <row r="25" customFormat="false" ht="15" hidden="false" customHeight="false" outlineLevel="0" collapsed="false">
      <c r="A25" s="67" t="n">
        <v>22</v>
      </c>
      <c r="B25" s="80" t="s">
        <v>8</v>
      </c>
      <c r="C25" s="73" t="n">
        <f aca="false">IF(C24&lt;&gt;"",C24*C12,"")</f>
        <v>6.75</v>
      </c>
      <c r="D25" s="73" t="n">
        <f aca="false">IF(D24&lt;&gt;"",D24*D12,"")</f>
        <v>9.6</v>
      </c>
      <c r="E25" s="73" t="str">
        <f aca="false">IF(E24&lt;&gt;"",E24*E12,"")</f>
        <v/>
      </c>
      <c r="F25" s="73" t="str">
        <f aca="false">IF(F24&lt;&gt;"",F24*F12,"")</f>
        <v/>
      </c>
      <c r="G25" s="73" t="str">
        <f aca="false">IF(G24&lt;&gt;"",G24*G12,"")</f>
        <v/>
      </c>
      <c r="H25" s="73" t="str">
        <f aca="false">IF(H24&lt;&gt;"",H24*H12,"")</f>
        <v/>
      </c>
      <c r="I25" s="73" t="str">
        <f aca="false">IF(I24&lt;&gt;"",I24*I12,"")</f>
        <v/>
      </c>
      <c r="J25" s="73" t="str">
        <f aca="false">IF(J24&lt;&gt;"",J24*J12,"")</f>
        <v/>
      </c>
      <c r="K25" s="73" t="str">
        <f aca="false">IF(K24&lt;&gt;"",K24*K12,"")</f>
        <v/>
      </c>
      <c r="L25" s="73" t="str">
        <f aca="false">IF(L24&lt;&gt;"",L24*L12,"")</f>
        <v/>
      </c>
      <c r="M25" s="73" t="str">
        <f aca="false">IF(M24&lt;&gt;"",M24*M12,"")</f>
        <v/>
      </c>
      <c r="N25" s="73" t="str">
        <f aca="false">IF(N24&lt;&gt;"",N24*N12,"")</f>
        <v/>
      </c>
      <c r="O25" s="73" t="str">
        <f aca="false">IF(O24&lt;&gt;"",O24*O12,"")</f>
        <v/>
      </c>
      <c r="P25" s="73" t="str">
        <f aca="false">IF(P24&lt;&gt;"",P24*P12,"")</f>
        <v/>
      </c>
      <c r="Q25" s="73" t="str">
        <f aca="false">IF(Q24&lt;&gt;"",Q24*Q12,"")</f>
        <v/>
      </c>
      <c r="R25" s="73" t="str">
        <f aca="false">IF(R24&lt;&gt;"",R24*R12,"")</f>
        <v/>
      </c>
      <c r="S25" s="73" t="str">
        <f aca="false">IF(S24&lt;&gt;"",S24*S12,"")</f>
        <v/>
      </c>
      <c r="T25" s="73" t="str">
        <f aca="false">IF(T24&lt;&gt;"",T24*T12,"")</f>
        <v/>
      </c>
      <c r="U25" s="73" t="str">
        <f aca="false">IF(U24&lt;&gt;"",U24*U12,"")</f>
        <v/>
      </c>
      <c r="V25" s="73" t="str">
        <f aca="false">IF(V24&lt;&gt;"",V24*V12,"")</f>
        <v/>
      </c>
      <c r="W25" s="1"/>
    </row>
    <row r="26" customFormat="false" ht="15" hidden="false" customHeight="false" outlineLevel="0" collapsed="false">
      <c r="A26" s="67" t="n">
        <v>23</v>
      </c>
      <c r="B26" s="79" t="s">
        <v>10</v>
      </c>
      <c r="C26" s="81" t="n">
        <f aca="false">IF(C25&lt;&gt;"",C25*C13,"")</f>
        <v>0</v>
      </c>
      <c r="D26" s="81" t="n">
        <f aca="false">IF(D25&lt;&gt;"",D25*D13,"")</f>
        <v>0</v>
      </c>
      <c r="E26" s="81" t="str">
        <f aca="false">IF(E25&lt;&gt;"",E25*E13,"")</f>
        <v/>
      </c>
      <c r="F26" s="81" t="str">
        <f aca="false">IF(F25&lt;&gt;"",F25*F13,"")</f>
        <v/>
      </c>
      <c r="G26" s="81" t="str">
        <f aca="false">IF(G25&lt;&gt;"",G25*G13,"")</f>
        <v/>
      </c>
      <c r="H26" s="81" t="str">
        <f aca="false">IF(H25&lt;&gt;"",H25*H13,"")</f>
        <v/>
      </c>
      <c r="I26" s="81" t="str">
        <f aca="false">IF(I25&lt;&gt;"",I25*I13,"")</f>
        <v/>
      </c>
      <c r="J26" s="81" t="str">
        <f aca="false">IF(J25&lt;&gt;"",J25*J13,"")</f>
        <v/>
      </c>
      <c r="K26" s="81" t="str">
        <f aca="false">IF(K25&lt;&gt;"",K25*K13,"")</f>
        <v/>
      </c>
      <c r="L26" s="81" t="str">
        <f aca="false">IF(L25&lt;&gt;"",L25*L13,"")</f>
        <v/>
      </c>
      <c r="M26" s="81" t="str">
        <f aca="false">IF(M25&lt;&gt;"",M25*M13,"")</f>
        <v/>
      </c>
      <c r="N26" s="81" t="str">
        <f aca="false">IF(N25&lt;&gt;"",N25*N13,"")</f>
        <v/>
      </c>
      <c r="O26" s="81" t="str">
        <f aca="false">IF(O25&lt;&gt;"",O25*O13,"")</f>
        <v/>
      </c>
      <c r="P26" s="81" t="str">
        <f aca="false">IF(P25&lt;&gt;"",P25*P13,"")</f>
        <v/>
      </c>
      <c r="Q26" s="81" t="str">
        <f aca="false">IF(Q25&lt;&gt;"",Q25*Q13,"")</f>
        <v/>
      </c>
      <c r="R26" s="81" t="str">
        <f aca="false">IF(R25&lt;&gt;"",R25*R13,"")</f>
        <v/>
      </c>
      <c r="S26" s="81" t="str">
        <f aca="false">IF(S25&lt;&gt;"",S25*S13,"")</f>
        <v/>
      </c>
      <c r="T26" s="81" t="str">
        <f aca="false">IF(T25&lt;&gt;"",T25*T13,"")</f>
        <v/>
      </c>
      <c r="U26" s="81" t="str">
        <f aca="false">IF(U25&lt;&gt;"",U25*U13,"")</f>
        <v/>
      </c>
      <c r="V26" s="81" t="str">
        <f aca="false">IF(V25&lt;&gt;"",V25*V13,"")</f>
        <v/>
      </c>
      <c r="W26" s="1"/>
    </row>
    <row r="27" customFormat="false" ht="15" hidden="false" customHeight="false" outlineLevel="0" collapsed="false">
      <c r="A27" s="1"/>
      <c r="B27" s="1"/>
      <c r="C27" s="1"/>
      <c r="D27" s="1"/>
      <c r="E27" s="1"/>
      <c r="F27" s="1"/>
      <c r="G27" s="1"/>
      <c r="H27" s="1"/>
      <c r="I27" s="1"/>
      <c r="J27" s="1"/>
      <c r="K27" s="1"/>
      <c r="L27" s="1"/>
      <c r="M27" s="1"/>
      <c r="N27" s="1"/>
      <c r="O27" s="1"/>
      <c r="P27" s="1"/>
      <c r="Q27" s="1"/>
      <c r="R27" s="1"/>
      <c r="S27" s="1"/>
      <c r="T27" s="1"/>
      <c r="U27" s="1"/>
      <c r="V27" s="1"/>
      <c r="W27" s="1"/>
    </row>
    <row r="28" customFormat="false" ht="15" hidden="false" customHeight="false" outlineLevel="0" collapsed="false">
      <c r="A28" s="67" t="n">
        <v>25</v>
      </c>
      <c r="B28" s="82" t="s">
        <v>118</v>
      </c>
      <c r="C28" s="77"/>
      <c r="D28" s="77"/>
      <c r="E28" s="77"/>
      <c r="F28" s="77"/>
      <c r="G28" s="77"/>
      <c r="H28" s="77"/>
      <c r="I28" s="77"/>
      <c r="J28" s="77"/>
      <c r="K28" s="77"/>
      <c r="L28" s="77"/>
      <c r="M28" s="77"/>
      <c r="N28" s="77"/>
      <c r="O28" s="77"/>
      <c r="P28" s="77"/>
      <c r="Q28" s="77"/>
      <c r="R28" s="77"/>
      <c r="S28" s="77"/>
      <c r="T28" s="77"/>
      <c r="U28" s="77"/>
      <c r="V28" s="77"/>
      <c r="W28" s="1"/>
    </row>
    <row r="29" customFormat="false" ht="15" hidden="false" customHeight="false" outlineLevel="0" collapsed="false">
      <c r="A29" s="67" t="n">
        <v>26</v>
      </c>
      <c r="B29" s="83" t="s">
        <v>15</v>
      </c>
      <c r="C29" s="77" t="n">
        <f aca="false">IF(C9&gt;0,(C9*C10)*0.05,"")</f>
        <v>0.16875</v>
      </c>
      <c r="D29" s="77" t="n">
        <f aca="false">IF(D9&gt;0,(D9*D10)*0.05,"")</f>
        <v>0.16</v>
      </c>
      <c r="E29" s="77" t="str">
        <f aca="false">IF(E9&gt;0,(E9*E10)*0.05,"")</f>
        <v/>
      </c>
      <c r="F29" s="77" t="str">
        <f aca="false">IF(F9&gt;0,(F9*F10)*0.05,"")</f>
        <v/>
      </c>
      <c r="G29" s="77" t="str">
        <f aca="false">IF(G9&gt;0,(G9*G10)*0.05,"")</f>
        <v/>
      </c>
      <c r="H29" s="77" t="str">
        <f aca="false">IF(H9&gt;0,(H9*H10)*0.05,"")</f>
        <v/>
      </c>
      <c r="I29" s="77" t="str">
        <f aca="false">IF(I9&gt;0,(I9*I10)*0.05,"")</f>
        <v/>
      </c>
      <c r="J29" s="77" t="str">
        <f aca="false">IF(J9&gt;0,(J9*J10)*0.05,"")</f>
        <v/>
      </c>
      <c r="K29" s="77" t="str">
        <f aca="false">IF(K9&gt;0,(K9*K10)*0.05,"")</f>
        <v/>
      </c>
      <c r="L29" s="77" t="str">
        <f aca="false">IF(L9&gt;0,(L9*L10)*0.05,"")</f>
        <v/>
      </c>
      <c r="M29" s="77" t="str">
        <f aca="false">IF(M9&gt;0,(M9*M10)*0.05,"")</f>
        <v/>
      </c>
      <c r="N29" s="77" t="str">
        <f aca="false">IF(N9&gt;0,(N9*N10)*0.05,"")</f>
        <v/>
      </c>
      <c r="O29" s="77" t="str">
        <f aca="false">IF(O9&gt;0,(O9*O10)*0.05,"")</f>
        <v/>
      </c>
      <c r="P29" s="77" t="str">
        <f aca="false">IF(P9&gt;0,(P9*P10)*0.05,"")</f>
        <v/>
      </c>
      <c r="Q29" s="77" t="str">
        <f aca="false">IF(Q9&gt;0,(Q9*Q10)*0.05,"")</f>
        <v/>
      </c>
      <c r="R29" s="77" t="str">
        <f aca="false">IF(R9&gt;0,(R9*R10)*0.05,"")</f>
        <v/>
      </c>
      <c r="S29" s="77" t="str">
        <f aca="false">IF(S9&gt;0,(S9*S10)*0.05,"")</f>
        <v/>
      </c>
      <c r="T29" s="77" t="str">
        <f aca="false">IF(T9&gt;0,(T9*T10)*0.05,"")</f>
        <v/>
      </c>
      <c r="U29" s="77" t="str">
        <f aca="false">IF(U9&gt;0,(U9*U10)*0.05,"")</f>
        <v/>
      </c>
      <c r="V29" s="77" t="str">
        <f aca="false">IF(V9&gt;0,(V9*V10)*0.05,"")</f>
        <v/>
      </c>
      <c r="W29" s="1"/>
    </row>
    <row r="30" customFormat="false" ht="15" hidden="false" customHeight="false" outlineLevel="0" collapsed="false">
      <c r="A30" s="67" t="n">
        <v>27</v>
      </c>
      <c r="B30" s="83" t="s">
        <v>119</v>
      </c>
      <c r="C30" s="77" t="n">
        <f aca="false">IF(C16&lt;&gt;"",C16,"")</f>
        <v>5000000</v>
      </c>
      <c r="D30" s="77" t="n">
        <f aca="false">IF(D16&lt;&gt;"",D16,"")</f>
        <v>0</v>
      </c>
      <c r="E30" s="77" t="str">
        <f aca="false">IF(E16&lt;&gt;"",E16,"")</f>
        <v/>
      </c>
      <c r="F30" s="77" t="str">
        <f aca="false">IF(F16&lt;&gt;"",F16,"")</f>
        <v/>
      </c>
      <c r="G30" s="77" t="str">
        <f aca="false">IF(G16&lt;&gt;"",G16,"")</f>
        <v/>
      </c>
      <c r="H30" s="77" t="str">
        <f aca="false">IF(H16&lt;&gt;"",H16,"")</f>
        <v/>
      </c>
      <c r="I30" s="77" t="str">
        <f aca="false">IF(I16&lt;&gt;"",I16,"")</f>
        <v/>
      </c>
      <c r="J30" s="77" t="str">
        <f aca="false">IF(J16&lt;&gt;"",J16,"")</f>
        <v/>
      </c>
      <c r="K30" s="77" t="str">
        <f aca="false">IF(K16&lt;&gt;"",K16,"")</f>
        <v/>
      </c>
      <c r="L30" s="77" t="str">
        <f aca="false">IF(L16&lt;&gt;"",L16,"")</f>
        <v/>
      </c>
      <c r="M30" s="77" t="str">
        <f aca="false">IF(M16&lt;&gt;"",M16,"")</f>
        <v/>
      </c>
      <c r="N30" s="77" t="str">
        <f aca="false">IF(N16&lt;&gt;"",N16,"")</f>
        <v/>
      </c>
      <c r="O30" s="77" t="str">
        <f aca="false">IF(O16&lt;&gt;"",O16,"")</f>
        <v/>
      </c>
      <c r="P30" s="77" t="str">
        <f aca="false">IF(P16&lt;&gt;"",P16,"")</f>
        <v/>
      </c>
      <c r="Q30" s="77" t="str">
        <f aca="false">IF(Q16&lt;&gt;"",Q16,"")</f>
        <v/>
      </c>
      <c r="R30" s="77" t="str">
        <f aca="false">IF(R16&lt;&gt;"",R16,"")</f>
        <v/>
      </c>
      <c r="S30" s="77" t="str">
        <f aca="false">IF(S16&lt;&gt;"",S16,"")</f>
        <v/>
      </c>
      <c r="T30" s="77" t="str">
        <f aca="false">IF(T16&lt;&gt;"",T16,"")</f>
        <v/>
      </c>
      <c r="U30" s="77" t="str">
        <f aca="false">IF(U16&lt;&gt;"",U16,"")</f>
        <v/>
      </c>
      <c r="V30" s="77" t="str">
        <f aca="false">IF(V16&lt;&gt;"",V16,"")</f>
        <v/>
      </c>
      <c r="W30" s="1"/>
    </row>
    <row r="31" customFormat="false" ht="15" hidden="false" customHeight="false" outlineLevel="0" collapsed="false">
      <c r="A31" s="67" t="n">
        <v>28</v>
      </c>
      <c r="B31" s="83" t="s">
        <v>120</v>
      </c>
      <c r="C31" s="77" t="str">
        <f aca="false">IF(C17&lt;&gt;"",C17,"")</f>
        <v/>
      </c>
      <c r="D31" s="77" t="str">
        <f aca="false">IF(D17&lt;&gt;"",D17,"")</f>
        <v/>
      </c>
      <c r="E31" s="77" t="str">
        <f aca="false">IF(E17&lt;&gt;"",E17,"")</f>
        <v/>
      </c>
      <c r="F31" s="77" t="str">
        <f aca="false">IF(F17&lt;&gt;"",F17,"")</f>
        <v/>
      </c>
      <c r="G31" s="77" t="str">
        <f aca="false">IF(G17&lt;&gt;"",G17,"")</f>
        <v/>
      </c>
      <c r="H31" s="77" t="str">
        <f aca="false">IF(H17&lt;&gt;"",H17,"")</f>
        <v/>
      </c>
      <c r="I31" s="77" t="str">
        <f aca="false">IF(I17&lt;&gt;"",I17,"")</f>
        <v/>
      </c>
      <c r="J31" s="77" t="str">
        <f aca="false">IF(J17&lt;&gt;"",J17,"")</f>
        <v/>
      </c>
      <c r="K31" s="77" t="str">
        <f aca="false">IF(K17&lt;&gt;"",K17,"")</f>
        <v/>
      </c>
      <c r="L31" s="77" t="str">
        <f aca="false">IF(L17&lt;&gt;"",L17,"")</f>
        <v/>
      </c>
      <c r="M31" s="77" t="str">
        <f aca="false">IF(M17&lt;&gt;"",M17,"")</f>
        <v/>
      </c>
      <c r="N31" s="77" t="str">
        <f aca="false">IF(N17&lt;&gt;"",N17,"")</f>
        <v/>
      </c>
      <c r="O31" s="77" t="str">
        <f aca="false">IF(O17&lt;&gt;"",O17,"")</f>
        <v/>
      </c>
      <c r="P31" s="77" t="str">
        <f aca="false">IF(P17&lt;&gt;"",P17,"")</f>
        <v/>
      </c>
      <c r="Q31" s="77" t="str">
        <f aca="false">IF(Q17&lt;&gt;"",Q17,"")</f>
        <v/>
      </c>
      <c r="R31" s="77" t="str">
        <f aca="false">IF(R17&lt;&gt;"",R17,"")</f>
        <v/>
      </c>
      <c r="S31" s="77" t="str">
        <f aca="false">IF(S17&lt;&gt;"",S17,"")</f>
        <v/>
      </c>
      <c r="T31" s="77" t="str">
        <f aca="false">IF(T17&lt;&gt;"",T17,"")</f>
        <v/>
      </c>
      <c r="U31" s="77" t="str">
        <f aca="false">IF(U17&lt;&gt;"",U17,"")</f>
        <v/>
      </c>
      <c r="V31" s="77" t="str">
        <f aca="false">IF(V17&lt;&gt;"",V17,"")</f>
        <v/>
      </c>
      <c r="W31" s="1"/>
    </row>
    <row r="32" customFormat="false" ht="15" hidden="false" customHeight="false" outlineLevel="0" collapsed="false">
      <c r="A32" s="67" t="n">
        <v>29</v>
      </c>
      <c r="B32" s="83" t="s">
        <v>121</v>
      </c>
      <c r="C32" s="77" t="n">
        <f aca="false">IF(C18&lt;&gt;"",C18,"")</f>
        <v>2900</v>
      </c>
      <c r="D32" s="77" t="n">
        <f aca="false">IF(D18&lt;&gt;"",D18,"")</f>
        <v>2900</v>
      </c>
      <c r="E32" s="77" t="str">
        <f aca="false">IF(E18&lt;&gt;"",E18,"")</f>
        <v/>
      </c>
      <c r="F32" s="77" t="str">
        <f aca="false">IF(F18&lt;&gt;"",F18,"")</f>
        <v/>
      </c>
      <c r="G32" s="77" t="str">
        <f aca="false">IF(G18&lt;&gt;"",G18,"")</f>
        <v/>
      </c>
      <c r="H32" s="77" t="str">
        <f aca="false">IF(H18&lt;&gt;"",H18,"")</f>
        <v/>
      </c>
      <c r="I32" s="77" t="str">
        <f aca="false">IF(I18&lt;&gt;"",I18,"")</f>
        <v/>
      </c>
      <c r="J32" s="77" t="str">
        <f aca="false">IF(J18&lt;&gt;"",J18,"")</f>
        <v/>
      </c>
      <c r="K32" s="77" t="str">
        <f aca="false">IF(K18&lt;&gt;"",K18,"")</f>
        <v/>
      </c>
      <c r="L32" s="77" t="str">
        <f aca="false">IF(L18&lt;&gt;"",L18,"")</f>
        <v/>
      </c>
      <c r="M32" s="77" t="str">
        <f aca="false">IF(M18&lt;&gt;"",M18,"")</f>
        <v/>
      </c>
      <c r="N32" s="77" t="str">
        <f aca="false">IF(N18&lt;&gt;"",N18,"")</f>
        <v/>
      </c>
      <c r="O32" s="77" t="str">
        <f aca="false">IF(O18&lt;&gt;"",O18,"")</f>
        <v/>
      </c>
      <c r="P32" s="77" t="str">
        <f aca="false">IF(P18&lt;&gt;"",P18,"")</f>
        <v/>
      </c>
      <c r="Q32" s="77" t="str">
        <f aca="false">IF(Q18&lt;&gt;"",Q18,"")</f>
        <v/>
      </c>
      <c r="R32" s="77" t="str">
        <f aca="false">IF(R18&lt;&gt;"",R18,"")</f>
        <v/>
      </c>
      <c r="S32" s="77" t="str">
        <f aca="false">IF(S18&lt;&gt;"",S18,"")</f>
        <v/>
      </c>
      <c r="T32" s="77" t="str">
        <f aca="false">IF(T18&lt;&gt;"",T18,"")</f>
        <v/>
      </c>
      <c r="U32" s="77" t="str">
        <f aca="false">IF(U18&lt;&gt;"",U18,"")</f>
        <v/>
      </c>
      <c r="V32" s="77" t="str">
        <f aca="false">IF(V18&lt;&gt;"",V18,"")</f>
        <v/>
      </c>
      <c r="W32" s="1"/>
    </row>
    <row r="33" customFormat="false" ht="15" hidden="false" customHeight="false" outlineLevel="0" collapsed="false">
      <c r="A33" s="67" t="n">
        <v>30</v>
      </c>
      <c r="B33" s="82" t="s">
        <v>22</v>
      </c>
      <c r="C33" s="84" t="n">
        <f aca="false">IF(C29&lt;&gt;"",C29+C16+C17+C18,"")</f>
        <v>5002900.16875</v>
      </c>
      <c r="D33" s="84" t="n">
        <f aca="false">IF(D29&lt;&gt;"",D29+D16+D17+D18,"")</f>
        <v>2900.16</v>
      </c>
      <c r="E33" s="84" t="str">
        <f aca="false">IF(E29&lt;&gt;"",E29+E16+E17+E18,"")</f>
        <v/>
      </c>
      <c r="F33" s="84" t="str">
        <f aca="false">IF(F29&lt;&gt;"",F29+F16+F17+F18,"")</f>
        <v/>
      </c>
      <c r="G33" s="84" t="str">
        <f aca="false">IF(G29&lt;&gt;"",G29+G16+G17+G18,"")</f>
        <v/>
      </c>
      <c r="H33" s="84" t="str">
        <f aca="false">IF(H29&lt;&gt;"",H29+H16+H17+H18,"")</f>
        <v/>
      </c>
      <c r="I33" s="84" t="str">
        <f aca="false">IF(I29&lt;&gt;"",I29+I16+I17+I18,"")</f>
        <v/>
      </c>
      <c r="J33" s="84" t="str">
        <f aca="false">IF(J29&lt;&gt;"",J29+J16+J17+J18,"")</f>
        <v/>
      </c>
      <c r="K33" s="84" t="str">
        <f aca="false">IF(K29&lt;&gt;"",K29+K16+K17+K18,"")</f>
        <v/>
      </c>
      <c r="L33" s="84" t="str">
        <f aca="false">IF(L29&lt;&gt;"",L29+L16+L17+L18,"")</f>
        <v/>
      </c>
      <c r="M33" s="84" t="str">
        <f aca="false">IF(M29&lt;&gt;"",M29+M16+M17+M18,"")</f>
        <v/>
      </c>
      <c r="N33" s="84" t="str">
        <f aca="false">IF(N29&lt;&gt;"",N29+N16+N17+N18,"")</f>
        <v/>
      </c>
      <c r="O33" s="84" t="str">
        <f aca="false">IF(O29&lt;&gt;"",O29+O16+O17+O18,"")</f>
        <v/>
      </c>
      <c r="P33" s="84" t="str">
        <f aca="false">IF(P29&lt;&gt;"",P29+P16+P17+P18,"")</f>
        <v/>
      </c>
      <c r="Q33" s="84" t="str">
        <f aca="false">IF(Q29&lt;&gt;"",Q29+Q16+Q17+Q18,"")</f>
        <v/>
      </c>
      <c r="R33" s="84" t="str">
        <f aca="false">IF(R29&lt;&gt;"",R29+R16+R17+R18,"")</f>
        <v/>
      </c>
      <c r="S33" s="84" t="str">
        <f aca="false">IF(S29&lt;&gt;"",S29+S16+S17+S18,"")</f>
        <v/>
      </c>
      <c r="T33" s="84" t="str">
        <f aca="false">IF(T29&lt;&gt;"",T29+T16+T17+T18,"")</f>
        <v/>
      </c>
      <c r="U33" s="84" t="str">
        <f aca="false">IF(U29&lt;&gt;"",U29+U16+U17+U18,"")</f>
        <v/>
      </c>
      <c r="V33" s="84" t="str">
        <f aca="false">IF(V29&lt;&gt;"",V29+V16+V17+V18,"")</f>
        <v/>
      </c>
      <c r="W33" s="1"/>
    </row>
    <row r="34" customFormat="false" ht="15" hidden="false" customHeight="false" outlineLevel="0" collapsed="false">
      <c r="A34" s="1"/>
      <c r="B34" s="1"/>
      <c r="C34" s="1"/>
      <c r="D34" s="1"/>
      <c r="E34" s="1"/>
      <c r="F34" s="1"/>
      <c r="G34" s="1"/>
      <c r="H34" s="1"/>
      <c r="I34" s="1"/>
      <c r="J34" s="1"/>
      <c r="K34" s="1"/>
      <c r="L34" s="1"/>
      <c r="M34" s="1"/>
      <c r="N34" s="1"/>
      <c r="O34" s="1"/>
      <c r="P34" s="1"/>
      <c r="Q34" s="1"/>
      <c r="R34" s="1"/>
      <c r="S34" s="1"/>
      <c r="T34" s="1"/>
      <c r="U34" s="1"/>
      <c r="V34" s="1"/>
      <c r="W34" s="1"/>
    </row>
    <row r="35" customFormat="false" ht="15" hidden="false" customHeight="false" outlineLevel="0" collapsed="false">
      <c r="A35" s="67" t="n">
        <v>32</v>
      </c>
      <c r="B35" s="85" t="s">
        <v>122</v>
      </c>
      <c r="C35" s="86"/>
      <c r="D35" s="86"/>
      <c r="E35" s="86"/>
      <c r="F35" s="86"/>
      <c r="G35" s="86"/>
      <c r="H35" s="86"/>
      <c r="I35" s="86"/>
      <c r="J35" s="86"/>
      <c r="K35" s="86"/>
      <c r="L35" s="86"/>
      <c r="M35" s="86"/>
      <c r="N35" s="86"/>
      <c r="O35" s="86"/>
      <c r="P35" s="86"/>
      <c r="Q35" s="86"/>
      <c r="R35" s="86"/>
      <c r="S35" s="86"/>
      <c r="T35" s="86"/>
      <c r="U35" s="86"/>
      <c r="V35" s="86"/>
      <c r="W35" s="1"/>
    </row>
    <row r="36" customFormat="false" ht="15" hidden="false" customHeight="false" outlineLevel="0" collapsed="false">
      <c r="A36" s="67" t="n">
        <v>33</v>
      </c>
      <c r="B36" s="85" t="s">
        <v>123</v>
      </c>
      <c r="C36" s="87" t="n">
        <f aca="false">IF(C26&lt;&gt;"",C26+C33,"")</f>
        <v>5002900.16875</v>
      </c>
      <c r="D36" s="87" t="n">
        <f aca="false">IF(D26&lt;&gt;"",D26+D33,"")</f>
        <v>2900.16</v>
      </c>
      <c r="E36" s="87" t="str">
        <f aca="false">IF(E26&lt;&gt;"",E26+E33,"")</f>
        <v/>
      </c>
      <c r="F36" s="87" t="str">
        <f aca="false">IF(F26&lt;&gt;"",F26+F33,"")</f>
        <v/>
      </c>
      <c r="G36" s="87" t="str">
        <f aca="false">IF(G26&lt;&gt;"",G26+G33,"")</f>
        <v/>
      </c>
      <c r="H36" s="87" t="str">
        <f aca="false">IF(H26&lt;&gt;"",H26+H33,"")</f>
        <v/>
      </c>
      <c r="I36" s="87" t="str">
        <f aca="false">IF(I26&lt;&gt;"",I26+I33,"")</f>
        <v/>
      </c>
      <c r="J36" s="87" t="str">
        <f aca="false">IF(J26&lt;&gt;"",J26+J33,"")</f>
        <v/>
      </c>
      <c r="K36" s="87" t="str">
        <f aca="false">IF(K26&lt;&gt;"",K26+K33,"")</f>
        <v/>
      </c>
      <c r="L36" s="87" t="str">
        <f aca="false">IF(L26&lt;&gt;"",L26+L33,"")</f>
        <v/>
      </c>
      <c r="M36" s="87" t="str">
        <f aca="false">IF(M26&lt;&gt;"",M26+M33,"")</f>
        <v/>
      </c>
      <c r="N36" s="87" t="str">
        <f aca="false">IF(N26&lt;&gt;"",N26+N33,"")</f>
        <v/>
      </c>
      <c r="O36" s="87" t="str">
        <f aca="false">IF(O26&lt;&gt;"",O26+O33,"")</f>
        <v/>
      </c>
      <c r="P36" s="87" t="str">
        <f aca="false">IF(P26&lt;&gt;"",P26+P33,"")</f>
        <v/>
      </c>
      <c r="Q36" s="87" t="str">
        <f aca="false">IF(Q26&lt;&gt;"",Q26+Q33,"")</f>
        <v/>
      </c>
      <c r="R36" s="87" t="str">
        <f aca="false">IF(R26&lt;&gt;"",R26+R33,"")</f>
        <v/>
      </c>
      <c r="S36" s="87" t="str">
        <f aca="false">IF(S26&lt;&gt;"",S26+S33,"")</f>
        <v/>
      </c>
      <c r="T36" s="87" t="str">
        <f aca="false">IF(T26&lt;&gt;"",T26+T33,"")</f>
        <v/>
      </c>
      <c r="U36" s="87" t="str">
        <f aca="false">IF(U26&lt;&gt;"",U26+U33,"")</f>
        <v/>
      </c>
      <c r="V36" s="87" t="str">
        <f aca="false">IF(V26&lt;&gt;"",V26+V33,"")</f>
        <v/>
      </c>
      <c r="W36" s="1"/>
    </row>
    <row r="37" customFormat="false" ht="15" hidden="false" customHeight="false" outlineLevel="0" collapsed="false">
      <c r="A37" s="67" t="n">
        <v>34</v>
      </c>
      <c r="B37" s="85" t="s">
        <v>124</v>
      </c>
      <c r="C37" s="88" t="n">
        <f aca="false">IF(C36&lt;&gt;"",C36/1000000000,"")</f>
        <v>0.00500290016875</v>
      </c>
      <c r="D37" s="88" t="n">
        <f aca="false">IF(D36&lt;&gt;"",D36/1000000000,"")</f>
        <v>2.90016E-006</v>
      </c>
      <c r="E37" s="88" t="str">
        <f aca="false">IF(E36&lt;&gt;"",E36/1000000000,"")</f>
        <v/>
      </c>
      <c r="F37" s="88" t="str">
        <f aca="false">IF(F36&lt;&gt;"",F36/1000000000,"")</f>
        <v/>
      </c>
      <c r="G37" s="88" t="str">
        <f aca="false">IF(G36&lt;&gt;"",G36/1000000000,"")</f>
        <v/>
      </c>
      <c r="H37" s="88" t="str">
        <f aca="false">IF(H36&lt;&gt;"",H36/1000000000,"")</f>
        <v/>
      </c>
      <c r="I37" s="88" t="str">
        <f aca="false">IF(I36&lt;&gt;"",I36/1000000000,"")</f>
        <v/>
      </c>
      <c r="J37" s="88" t="str">
        <f aca="false">IF(J36&lt;&gt;"",J36/1000000000,"")</f>
        <v/>
      </c>
      <c r="K37" s="88" t="str">
        <f aca="false">IF(K36&lt;&gt;"",K36/1000000000,"")</f>
        <v/>
      </c>
      <c r="L37" s="88" t="str">
        <f aca="false">IF(L36&lt;&gt;"",L36/1000000000,"")</f>
        <v/>
      </c>
      <c r="M37" s="88" t="str">
        <f aca="false">IF(M36&lt;&gt;"",M36/1000000000,"")</f>
        <v/>
      </c>
      <c r="N37" s="88" t="str">
        <f aca="false">IF(N36&lt;&gt;"",N36/1000000000,"")</f>
        <v/>
      </c>
      <c r="O37" s="88" t="str">
        <f aca="false">IF(O36&lt;&gt;"",O36/1000000000,"")</f>
        <v/>
      </c>
      <c r="P37" s="88" t="str">
        <f aca="false">IF(P36&lt;&gt;"",P36/1000000000,"")</f>
        <v/>
      </c>
      <c r="Q37" s="88" t="str">
        <f aca="false">IF(Q36&lt;&gt;"",Q36/1000000000,"")</f>
        <v/>
      </c>
      <c r="R37" s="88" t="str">
        <f aca="false">IF(R36&lt;&gt;"",R36/1000000000,"")</f>
        <v/>
      </c>
      <c r="S37" s="88" t="str">
        <f aca="false">IF(S36&lt;&gt;"",S36/1000000000,"")</f>
        <v/>
      </c>
      <c r="T37" s="88" t="str">
        <f aca="false">IF(T36&lt;&gt;"",T36/1000000000,"")</f>
        <v/>
      </c>
      <c r="U37" s="88" t="str">
        <f aca="false">IF(U36&lt;&gt;"",U36/1000000000,"")</f>
        <v/>
      </c>
      <c r="V37" s="88" t="str">
        <f aca="false">IF(V36&lt;&gt;"",V36/1000000000,"")</f>
        <v/>
      </c>
      <c r="W37" s="1"/>
    </row>
    <row r="38" customFormat="false" ht="15" hidden="false" customHeight="false" outlineLevel="0" collapsed="false">
      <c r="A38" s="67" t="n">
        <v>35</v>
      </c>
      <c r="B38" s="85" t="s">
        <v>125</v>
      </c>
      <c r="C38" s="89" t="str">
        <f aca="false">IF(AND(C36&lt;&gt;"",C21&gt;0),C36*C21,"")</f>
        <v/>
      </c>
      <c r="D38" s="89" t="str">
        <f aca="false">IF(AND(D36&lt;&gt;"",D21&gt;0),D36*D21,"")</f>
        <v/>
      </c>
      <c r="E38" s="89" t="str">
        <f aca="false">IF(AND(E36&lt;&gt;"",E21&gt;0),E36*E21,"")</f>
        <v/>
      </c>
      <c r="F38" s="89" t="str">
        <f aca="false">IF(AND(F36&lt;&gt;"",F21&gt;0),F36*F21,"")</f>
        <v/>
      </c>
      <c r="G38" s="89" t="str">
        <f aca="false">IF(AND(G36&lt;&gt;"",G21&gt;0),G36*G21,"")</f>
        <v/>
      </c>
      <c r="H38" s="89" t="str">
        <f aca="false">IF(AND(H36&lt;&gt;"",H21&gt;0),H36*H21,"")</f>
        <v/>
      </c>
      <c r="I38" s="89" t="str">
        <f aca="false">IF(AND(I36&lt;&gt;"",I21&gt;0),I36*I21,"")</f>
        <v/>
      </c>
      <c r="J38" s="89" t="str">
        <f aca="false">IF(AND(J36&lt;&gt;"",J21&gt;0),J36*J21,"")</f>
        <v/>
      </c>
      <c r="K38" s="89" t="str">
        <f aca="false">IF(AND(K36&lt;&gt;"",K21&gt;0),K36*K21,"")</f>
        <v/>
      </c>
      <c r="L38" s="89" t="str">
        <f aca="false">IF(AND(L36&lt;&gt;"",L21&gt;0),L36*L21,"")</f>
        <v/>
      </c>
      <c r="M38" s="89" t="str">
        <f aca="false">IF(AND(M36&lt;&gt;"",M21&gt;0),M36*M21,"")</f>
        <v/>
      </c>
      <c r="N38" s="89" t="str">
        <f aca="false">IF(AND(N36&lt;&gt;"",N21&gt;0),N36*N21,"")</f>
        <v/>
      </c>
      <c r="O38" s="89" t="str">
        <f aca="false">IF(AND(O36&lt;&gt;"",O21&gt;0),O36*O21,"")</f>
        <v/>
      </c>
      <c r="P38" s="89" t="str">
        <f aca="false">IF(AND(P36&lt;&gt;"",P21&gt;0),P36*P21,"")</f>
        <v/>
      </c>
      <c r="Q38" s="89" t="str">
        <f aca="false">IF(AND(Q36&lt;&gt;"",Q21&gt;0),Q36*Q21,"")</f>
        <v/>
      </c>
      <c r="R38" s="89" t="str">
        <f aca="false">IF(AND(R36&lt;&gt;"",R21&gt;0),R36*R21,"")</f>
        <v/>
      </c>
      <c r="S38" s="89" t="str">
        <f aca="false">IF(AND(S36&lt;&gt;"",S21&gt;0),S36*S21,"")</f>
        <v/>
      </c>
      <c r="T38" s="89" t="str">
        <f aca="false">IF(AND(T36&lt;&gt;"",T21&gt;0),T36*T21,"")</f>
        <v/>
      </c>
      <c r="U38" s="89" t="str">
        <f aca="false">IF(AND(U36&lt;&gt;"",U21&gt;0),U36*U21,"")</f>
        <v/>
      </c>
      <c r="V38" s="89" t="str">
        <f aca="false">IF(AND(V36&lt;&gt;"",V21&gt;0),V36*V21,"")</f>
        <v/>
      </c>
      <c r="W38" s="1"/>
    </row>
    <row r="39" customFormat="false" ht="15" hidden="false" customHeight="false" outlineLevel="0" collapsed="false">
      <c r="A39" s="67" t="n">
        <v>36</v>
      </c>
      <c r="B39" s="85" t="s">
        <v>126</v>
      </c>
      <c r="C39" s="90" t="str">
        <f aca="false">IF(C38&lt;&gt;"",C38/1000000000000,"")</f>
        <v/>
      </c>
      <c r="D39" s="90" t="str">
        <f aca="false">IF(D38&lt;&gt;"",D38/1000000000000,"")</f>
        <v/>
      </c>
      <c r="E39" s="90" t="str">
        <f aca="false">IF(E38&lt;&gt;"",E38/1000000000000,"")</f>
        <v/>
      </c>
      <c r="F39" s="90" t="str">
        <f aca="false">IF(F38&lt;&gt;"",F38/1000000000000,"")</f>
        <v/>
      </c>
      <c r="G39" s="90" t="str">
        <f aca="false">IF(G38&lt;&gt;"",G38/1000000000000,"")</f>
        <v/>
      </c>
      <c r="H39" s="90" t="str">
        <f aca="false">IF(H38&lt;&gt;"",H38/1000000000000,"")</f>
        <v/>
      </c>
      <c r="I39" s="90" t="str">
        <f aca="false">IF(I38&lt;&gt;"",I38/1000000000000,"")</f>
        <v/>
      </c>
      <c r="J39" s="90" t="str">
        <f aca="false">IF(J38&lt;&gt;"",J38/1000000000000,"")</f>
        <v/>
      </c>
      <c r="K39" s="90" t="str">
        <f aca="false">IF(K38&lt;&gt;"",K38/1000000000000,"")</f>
        <v/>
      </c>
      <c r="L39" s="90" t="str">
        <f aca="false">IF(L38&lt;&gt;"",L38/1000000000000,"")</f>
        <v/>
      </c>
      <c r="M39" s="90" t="str">
        <f aca="false">IF(M38&lt;&gt;"",M38/1000000000000,"")</f>
        <v/>
      </c>
      <c r="N39" s="90" t="str">
        <f aca="false">IF(N38&lt;&gt;"",N38/1000000000000,"")</f>
        <v/>
      </c>
      <c r="O39" s="90" t="str">
        <f aca="false">IF(O38&lt;&gt;"",O38/1000000000000,"")</f>
        <v/>
      </c>
      <c r="P39" s="90" t="str">
        <f aca="false">IF(P38&lt;&gt;"",P38/1000000000000,"")</f>
        <v/>
      </c>
      <c r="Q39" s="90" t="str">
        <f aca="false">IF(Q38&lt;&gt;"",Q38/1000000000000,"")</f>
        <v/>
      </c>
      <c r="R39" s="90" t="str">
        <f aca="false">IF(R38&lt;&gt;"",R38/1000000000000,"")</f>
        <v/>
      </c>
      <c r="S39" s="90" t="str">
        <f aca="false">IF(S38&lt;&gt;"",S38/1000000000000,"")</f>
        <v/>
      </c>
      <c r="T39" s="90" t="str">
        <f aca="false">IF(T38&lt;&gt;"",T38/1000000000000,"")</f>
        <v/>
      </c>
      <c r="U39" s="90" t="str">
        <f aca="false">IF(U38&lt;&gt;"",U38/1000000000000,"")</f>
        <v/>
      </c>
      <c r="V39" s="90" t="str">
        <f aca="false">IF(V38&lt;&gt;"",V38/1000000000000,"")</f>
        <v/>
      </c>
      <c r="W39" s="1"/>
    </row>
    <row r="40" customFormat="false" ht="15" hidden="false" customHeight="false" outlineLevel="0" collapsed="false">
      <c r="A40" s="1"/>
      <c r="B40" s="1"/>
      <c r="C40" s="1"/>
      <c r="D40" s="1"/>
      <c r="E40" s="1"/>
      <c r="F40" s="1"/>
      <c r="G40" s="1"/>
      <c r="H40" s="1"/>
      <c r="I40" s="1"/>
      <c r="J40" s="1"/>
      <c r="K40" s="1"/>
      <c r="L40" s="1"/>
      <c r="M40" s="1"/>
      <c r="N40" s="1"/>
      <c r="O40" s="1"/>
      <c r="P40" s="1"/>
      <c r="Q40" s="1"/>
      <c r="R40" s="1"/>
      <c r="S40" s="1"/>
      <c r="T40" s="1"/>
      <c r="U40" s="1"/>
      <c r="V40" s="1"/>
      <c r="W40" s="1"/>
    </row>
    <row r="41" customFormat="false" ht="15" hidden="false" customHeight="false" outlineLevel="0" collapsed="false">
      <c r="A41" s="67" t="n">
        <v>38</v>
      </c>
      <c r="B41" s="91" t="s">
        <v>127</v>
      </c>
      <c r="C41" s="92"/>
      <c r="D41" s="92"/>
      <c r="E41" s="92"/>
      <c r="F41" s="92"/>
      <c r="G41" s="92"/>
      <c r="H41" s="92"/>
      <c r="I41" s="92"/>
      <c r="J41" s="92"/>
      <c r="K41" s="92"/>
      <c r="L41" s="92"/>
      <c r="M41" s="92"/>
      <c r="N41" s="92"/>
      <c r="O41" s="92"/>
      <c r="P41" s="92"/>
      <c r="Q41" s="92"/>
      <c r="R41" s="92"/>
      <c r="S41" s="92"/>
      <c r="T41" s="92"/>
      <c r="U41" s="92"/>
      <c r="V41" s="92"/>
      <c r="W41" s="1"/>
    </row>
    <row r="42" customFormat="false" ht="15" hidden="false" customHeight="false" outlineLevel="0" collapsed="false">
      <c r="A42" s="67" t="n">
        <v>39</v>
      </c>
      <c r="B42" s="93" t="s">
        <v>32</v>
      </c>
      <c r="C42" s="94" t="n">
        <f aca="false">IF(AND(C26&lt;&gt;"",C33&gt;0),C26/C33,"")</f>
        <v>0</v>
      </c>
      <c r="D42" s="94" t="n">
        <f aca="false">IF(AND(D26&lt;&gt;"",D33&gt;0),D26/D33,"")</f>
        <v>0</v>
      </c>
      <c r="E42" s="94" t="str">
        <f aca="false">IF(AND(E26&lt;&gt;"",E33&gt;0),E26/E33,"")</f>
        <v/>
      </c>
      <c r="F42" s="94" t="str">
        <f aca="false">IF(AND(F26&lt;&gt;"",F33&gt;0),F26/F33,"")</f>
        <v/>
      </c>
      <c r="G42" s="94" t="str">
        <f aca="false">IF(AND(G26&lt;&gt;"",G33&gt;0),G26/G33,"")</f>
        <v/>
      </c>
      <c r="H42" s="94" t="str">
        <f aca="false">IF(AND(H26&lt;&gt;"",H33&gt;0),H26/H33,"")</f>
        <v/>
      </c>
      <c r="I42" s="94" t="str">
        <f aca="false">IF(AND(I26&lt;&gt;"",I33&gt;0),I26/I33,"")</f>
        <v/>
      </c>
      <c r="J42" s="94" t="str">
        <f aca="false">IF(AND(J26&lt;&gt;"",J33&gt;0),J26/J33,"")</f>
        <v/>
      </c>
      <c r="K42" s="94" t="str">
        <f aca="false">IF(AND(K26&lt;&gt;"",K33&gt;0),K26/K33,"")</f>
        <v/>
      </c>
      <c r="L42" s="94" t="str">
        <f aca="false">IF(AND(L26&lt;&gt;"",L33&gt;0),L26/L33,"")</f>
        <v/>
      </c>
      <c r="M42" s="94" t="str">
        <f aca="false">IF(AND(M26&lt;&gt;"",M33&gt;0),M26/M33,"")</f>
        <v/>
      </c>
      <c r="N42" s="94" t="str">
        <f aca="false">IF(AND(N26&lt;&gt;"",N33&gt;0),N26/N33,"")</f>
        <v/>
      </c>
      <c r="O42" s="94" t="str">
        <f aca="false">IF(AND(O26&lt;&gt;"",O33&gt;0),O26/O33,"")</f>
        <v/>
      </c>
      <c r="P42" s="94" t="str">
        <f aca="false">IF(AND(P26&lt;&gt;"",P33&gt;0),P26/P33,"")</f>
        <v/>
      </c>
      <c r="Q42" s="94" t="str">
        <f aca="false">IF(AND(Q26&lt;&gt;"",Q33&gt;0),Q26/Q33,"")</f>
        <v/>
      </c>
      <c r="R42" s="94" t="str">
        <f aca="false">IF(AND(R26&lt;&gt;"",R33&gt;0),R26/R33,"")</f>
        <v/>
      </c>
      <c r="S42" s="94" t="str">
        <f aca="false">IF(AND(S26&lt;&gt;"",S33&gt;0),S26/S33,"")</f>
        <v/>
      </c>
      <c r="T42" s="94" t="str">
        <f aca="false">IF(AND(T26&lt;&gt;"",T33&gt;0),T26/T33,"")</f>
        <v/>
      </c>
      <c r="U42" s="94" t="str">
        <f aca="false">IF(AND(U26&lt;&gt;"",U33&gt;0),U26/U33,"")</f>
        <v/>
      </c>
      <c r="V42" s="94" t="str">
        <f aca="false">IF(AND(V26&lt;&gt;"",V33&gt;0),V26/V33,"")</f>
        <v/>
      </c>
      <c r="W42" s="1"/>
    </row>
    <row r="43" customFormat="false" ht="15" hidden="false" customHeight="false" outlineLevel="0" collapsed="false">
      <c r="A43" s="67" t="n">
        <v>40</v>
      </c>
      <c r="B43" s="93" t="s">
        <v>33</v>
      </c>
      <c r="C43" s="95" t="n">
        <f aca="false">IF(C12&lt;&gt;"",C12,"")</f>
        <v>20</v>
      </c>
      <c r="D43" s="95" t="n">
        <f aca="false">IF(D12&lt;&gt;"",D12,"")</f>
        <v>20</v>
      </c>
      <c r="E43" s="95" t="str">
        <f aca="false">IF(E12&lt;&gt;"",E12,"")</f>
        <v/>
      </c>
      <c r="F43" s="95" t="str">
        <f aca="false">IF(F12&lt;&gt;"",F12,"")</f>
        <v/>
      </c>
      <c r="G43" s="95" t="str">
        <f aca="false">IF(G12&lt;&gt;"",G12,"")</f>
        <v/>
      </c>
      <c r="H43" s="95" t="str">
        <f aca="false">IF(H12&lt;&gt;"",H12,"")</f>
        <v/>
      </c>
      <c r="I43" s="95" t="str">
        <f aca="false">IF(I12&lt;&gt;"",I12,"")</f>
        <v/>
      </c>
      <c r="J43" s="95" t="str">
        <f aca="false">IF(J12&lt;&gt;"",J12,"")</f>
        <v/>
      </c>
      <c r="K43" s="95" t="str">
        <f aca="false">IF(K12&lt;&gt;"",K12,"")</f>
        <v/>
      </c>
      <c r="L43" s="95" t="str">
        <f aca="false">IF(L12&lt;&gt;"",L12,"")</f>
        <v/>
      </c>
      <c r="M43" s="95" t="str">
        <f aca="false">IF(M12&lt;&gt;"",M12,"")</f>
        <v/>
      </c>
      <c r="N43" s="95" t="str">
        <f aca="false">IF(N12&lt;&gt;"",N12,"")</f>
        <v/>
      </c>
      <c r="O43" s="95" t="str">
        <f aca="false">IF(O12&lt;&gt;"",O12,"")</f>
        <v/>
      </c>
      <c r="P43" s="95" t="str">
        <f aca="false">IF(P12&lt;&gt;"",P12,"")</f>
        <v/>
      </c>
      <c r="Q43" s="95" t="str">
        <f aca="false">IF(Q12&lt;&gt;"",Q12,"")</f>
        <v/>
      </c>
      <c r="R43" s="95" t="str">
        <f aca="false">IF(R12&lt;&gt;"",R12,"")</f>
        <v/>
      </c>
      <c r="S43" s="95" t="str">
        <f aca="false">IF(S12&lt;&gt;"",S12,"")</f>
        <v/>
      </c>
      <c r="T43" s="95" t="str">
        <f aca="false">IF(T12&lt;&gt;"",T12,"")</f>
        <v/>
      </c>
      <c r="U43" s="95" t="str">
        <f aca="false">IF(U12&lt;&gt;"",U12,"")</f>
        <v/>
      </c>
      <c r="V43" s="95" t="str">
        <f aca="false">IF(V12&lt;&gt;"",V12,"")</f>
        <v/>
      </c>
      <c r="W43" s="1"/>
    </row>
    <row r="44" customFormat="false" ht="15" hidden="false" customHeight="false" outlineLevel="0" collapsed="false">
      <c r="A44" s="67" t="n">
        <v>41</v>
      </c>
      <c r="B44" s="93" t="s">
        <v>128</v>
      </c>
      <c r="C44" s="96" t="n">
        <f aca="false">IF(AND(C36&lt;&gt;"",C9&gt;0),C36/C9,"")</f>
        <v>6670533.55833333</v>
      </c>
      <c r="D44" s="96" t="n">
        <f aca="false">IF(AND(D36&lt;&gt;"",D9&gt;0),D36/D9,"")</f>
        <v>3625.2</v>
      </c>
      <c r="E44" s="96" t="str">
        <f aca="false">IF(AND(E36&lt;&gt;"",E9&gt;0),E36/E9,"")</f>
        <v/>
      </c>
      <c r="F44" s="96" t="str">
        <f aca="false">IF(AND(F36&lt;&gt;"",F9&gt;0),F36/F9,"")</f>
        <v/>
      </c>
      <c r="G44" s="96" t="str">
        <f aca="false">IF(AND(G36&lt;&gt;"",G9&gt;0),G36/G9,"")</f>
        <v/>
      </c>
      <c r="H44" s="96" t="str">
        <f aca="false">IF(AND(H36&lt;&gt;"",H9&gt;0),H36/H9,"")</f>
        <v/>
      </c>
      <c r="I44" s="96" t="str">
        <f aca="false">IF(AND(I36&lt;&gt;"",I9&gt;0),I36/I9,"")</f>
        <v/>
      </c>
      <c r="J44" s="96" t="str">
        <f aca="false">IF(AND(J36&lt;&gt;"",J9&gt;0),J36/J9,"")</f>
        <v/>
      </c>
      <c r="K44" s="96" t="str">
        <f aca="false">IF(AND(K36&lt;&gt;"",K9&gt;0),K36/K9,"")</f>
        <v/>
      </c>
      <c r="L44" s="96" t="str">
        <f aca="false">IF(AND(L36&lt;&gt;"",L9&gt;0),L36/L9,"")</f>
        <v/>
      </c>
      <c r="M44" s="96" t="str">
        <f aca="false">IF(AND(M36&lt;&gt;"",M9&gt;0),M36/M9,"")</f>
        <v/>
      </c>
      <c r="N44" s="96" t="str">
        <f aca="false">IF(AND(N36&lt;&gt;"",N9&gt;0),N36/N9,"")</f>
        <v/>
      </c>
      <c r="O44" s="96" t="str">
        <f aca="false">IF(AND(O36&lt;&gt;"",O9&gt;0),O36/O9,"")</f>
        <v/>
      </c>
      <c r="P44" s="96" t="str">
        <f aca="false">IF(AND(P36&lt;&gt;"",P9&gt;0),P36/P9,"")</f>
        <v/>
      </c>
      <c r="Q44" s="96" t="str">
        <f aca="false">IF(AND(Q36&lt;&gt;"",Q9&gt;0),Q36/Q9,"")</f>
        <v/>
      </c>
      <c r="R44" s="96" t="str">
        <f aca="false">IF(AND(R36&lt;&gt;"",R9&gt;0),R36/R9,"")</f>
        <v/>
      </c>
      <c r="S44" s="96" t="str">
        <f aca="false">IF(AND(S36&lt;&gt;"",S9&gt;0),S36/S9,"")</f>
        <v/>
      </c>
      <c r="T44" s="96" t="str">
        <f aca="false">IF(AND(T36&lt;&gt;"",T9&gt;0),T36/T9,"")</f>
        <v/>
      </c>
      <c r="U44" s="96" t="str">
        <f aca="false">IF(AND(U36&lt;&gt;"",U9&gt;0),U36/U9,"")</f>
        <v/>
      </c>
      <c r="V44" s="96" t="str">
        <f aca="false">IF(AND(V36&lt;&gt;"",V9&gt;0),V36/V9,"")</f>
        <v/>
      </c>
      <c r="W44" s="1"/>
    </row>
    <row r="45" customFormat="false" ht="15" hidden="false" customHeight="false" outlineLevel="0" collapsed="false">
      <c r="A45" s="67" t="n">
        <v>42</v>
      </c>
      <c r="B45" s="93" t="s">
        <v>75</v>
      </c>
      <c r="C45" s="97" t="n">
        <f aca="false">IF(AND(C25&lt;&gt;"",C36&gt;0),C25/C36,"")</f>
        <v>1.34921740836706E-006</v>
      </c>
      <c r="D45" s="97" t="n">
        <f aca="false">IF(AND(D25&lt;&gt;"",D36&gt;0),D25/D36,"")</f>
        <v>0.0033101621979477</v>
      </c>
      <c r="E45" s="97" t="str">
        <f aca="false">IF(AND(E25&lt;&gt;"",E36&gt;0),E25/E36,"")</f>
        <v/>
      </c>
      <c r="F45" s="97" t="str">
        <f aca="false">IF(AND(F25&lt;&gt;"",F36&gt;0),F25/F36,"")</f>
        <v/>
      </c>
      <c r="G45" s="97" t="str">
        <f aca="false">IF(AND(G25&lt;&gt;"",G36&gt;0),G25/G36,"")</f>
        <v/>
      </c>
      <c r="H45" s="97" t="str">
        <f aca="false">IF(AND(H25&lt;&gt;"",H36&gt;0),H25/H36,"")</f>
        <v/>
      </c>
      <c r="I45" s="97" t="str">
        <f aca="false">IF(AND(I25&lt;&gt;"",I36&gt;0),I25/I36,"")</f>
        <v/>
      </c>
      <c r="J45" s="97" t="str">
        <f aca="false">IF(AND(J25&lt;&gt;"",J36&gt;0),J25/J36,"")</f>
        <v/>
      </c>
      <c r="K45" s="97" t="str">
        <f aca="false">IF(AND(K25&lt;&gt;"",K36&gt;0),K25/K36,"")</f>
        <v/>
      </c>
      <c r="L45" s="97" t="str">
        <f aca="false">IF(AND(L25&lt;&gt;"",L36&gt;0),L25/L36,"")</f>
        <v/>
      </c>
      <c r="M45" s="97" t="str">
        <f aca="false">IF(AND(M25&lt;&gt;"",M36&gt;0),M25/M36,"")</f>
        <v/>
      </c>
      <c r="N45" s="97" t="str">
        <f aca="false">IF(AND(N25&lt;&gt;"",N36&gt;0),N25/N36,"")</f>
        <v/>
      </c>
      <c r="O45" s="97" t="str">
        <f aca="false">IF(AND(O25&lt;&gt;"",O36&gt;0),O25/O36,"")</f>
        <v/>
      </c>
      <c r="P45" s="97" t="str">
        <f aca="false">IF(AND(P25&lt;&gt;"",P36&gt;0),P25/P36,"")</f>
        <v/>
      </c>
      <c r="Q45" s="97" t="str">
        <f aca="false">IF(AND(Q25&lt;&gt;"",Q36&gt;0),Q25/Q36,"")</f>
        <v/>
      </c>
      <c r="R45" s="97" t="str">
        <f aca="false">IF(AND(R25&lt;&gt;"",R36&gt;0),R25/R36,"")</f>
        <v/>
      </c>
      <c r="S45" s="97" t="str">
        <f aca="false">IF(AND(S25&lt;&gt;"",S36&gt;0),S25/S36,"")</f>
        <v/>
      </c>
      <c r="T45" s="97" t="str">
        <f aca="false">IF(AND(T25&lt;&gt;"",T36&gt;0),T25/T36,"")</f>
        <v/>
      </c>
      <c r="U45" s="97" t="str">
        <f aca="false">IF(AND(U25&lt;&gt;"",U36&gt;0),U25/U36,"")</f>
        <v/>
      </c>
      <c r="V45" s="97" t="str">
        <f aca="false">IF(AND(V25&lt;&gt;"",V36&gt;0),V25/V36,"")</f>
        <v/>
      </c>
      <c r="W45" s="1"/>
    </row>
    <row r="46" customFormat="false" ht="15" hidden="false" customHeight="false" outlineLevel="0" collapsed="false">
      <c r="A46" s="67" t="n">
        <v>43</v>
      </c>
      <c r="B46" s="93" t="s">
        <v>37</v>
      </c>
      <c r="C46" s="95" t="n">
        <f aca="false">IF(AND(C26&lt;&gt;"",C36&gt;0),C26/C36,"")</f>
        <v>0</v>
      </c>
      <c r="D46" s="95" t="n">
        <f aca="false">IF(AND(D26&lt;&gt;"",D36&gt;0),D26/D36,"")</f>
        <v>0</v>
      </c>
      <c r="E46" s="95" t="str">
        <f aca="false">IF(AND(E26&lt;&gt;"",E36&gt;0),E26/E36,"")</f>
        <v/>
      </c>
      <c r="F46" s="95" t="str">
        <f aca="false">IF(AND(F26&lt;&gt;"",F36&gt;0),F26/F36,"")</f>
        <v/>
      </c>
      <c r="G46" s="95" t="str">
        <f aca="false">IF(AND(G26&lt;&gt;"",G36&gt;0),G26/G36,"")</f>
        <v/>
      </c>
      <c r="H46" s="95" t="str">
        <f aca="false">IF(AND(H26&lt;&gt;"",H36&gt;0),H26/H36,"")</f>
        <v/>
      </c>
      <c r="I46" s="95" t="str">
        <f aca="false">IF(AND(I26&lt;&gt;"",I36&gt;0),I26/I36,"")</f>
        <v/>
      </c>
      <c r="J46" s="95" t="str">
        <f aca="false">IF(AND(J26&lt;&gt;"",J36&gt;0),J26/J36,"")</f>
        <v/>
      </c>
      <c r="K46" s="95" t="str">
        <f aca="false">IF(AND(K26&lt;&gt;"",K36&gt;0),K26/K36,"")</f>
        <v/>
      </c>
      <c r="L46" s="95" t="str">
        <f aca="false">IF(AND(L26&lt;&gt;"",L36&gt;0),L26/L36,"")</f>
        <v/>
      </c>
      <c r="M46" s="95" t="str">
        <f aca="false">IF(AND(M26&lt;&gt;"",M36&gt;0),M26/M36,"")</f>
        <v/>
      </c>
      <c r="N46" s="95" t="str">
        <f aca="false">IF(AND(N26&lt;&gt;"",N36&gt;0),N26/N36,"")</f>
        <v/>
      </c>
      <c r="O46" s="95" t="str">
        <f aca="false">IF(AND(O26&lt;&gt;"",O36&gt;0),O26/O36,"")</f>
        <v/>
      </c>
      <c r="P46" s="95" t="str">
        <f aca="false">IF(AND(P26&lt;&gt;"",P36&gt;0),P26/P36,"")</f>
        <v/>
      </c>
      <c r="Q46" s="95" t="str">
        <f aca="false">IF(AND(Q26&lt;&gt;"",Q36&gt;0),Q26/Q36,"")</f>
        <v/>
      </c>
      <c r="R46" s="95" t="str">
        <f aca="false">IF(AND(R26&lt;&gt;"",R36&gt;0),R26/R36,"")</f>
        <v/>
      </c>
      <c r="S46" s="95" t="str">
        <f aca="false">IF(AND(S26&lt;&gt;"",S36&gt;0),S26/S36,"")</f>
        <v/>
      </c>
      <c r="T46" s="95" t="str">
        <f aca="false">IF(AND(T26&lt;&gt;"",T36&gt;0),T26/T36,"")</f>
        <v/>
      </c>
      <c r="U46" s="95" t="str">
        <f aca="false">IF(AND(U26&lt;&gt;"",U36&gt;0),U26/U36,"")</f>
        <v/>
      </c>
      <c r="V46" s="95" t="str">
        <f aca="false">IF(AND(V26&lt;&gt;"",V36&gt;0),V26/V36,"")</f>
        <v/>
      </c>
      <c r="W46" s="1"/>
    </row>
    <row r="47" customFormat="false" ht="15" hidden="false" customHeight="false" outlineLevel="0" collapsed="false">
      <c r="A47" s="67" t="n">
        <v>44</v>
      </c>
      <c r="B47" s="93" t="s">
        <v>38</v>
      </c>
      <c r="C47" s="95" t="n">
        <f aca="false">IF(AND(C33&lt;&gt;"",C36&gt;0),C33/C36,"")</f>
        <v>1</v>
      </c>
      <c r="D47" s="95" t="n">
        <f aca="false">IF(AND(D33&lt;&gt;"",D36&gt;0),D33/D36,"")</f>
        <v>1</v>
      </c>
      <c r="E47" s="95" t="str">
        <f aca="false">IF(AND(E33&lt;&gt;"",E36&gt;0),E33/E36,"")</f>
        <v/>
      </c>
      <c r="F47" s="95" t="str">
        <f aca="false">IF(AND(F33&lt;&gt;"",F36&gt;0),F33/F36,"")</f>
        <v/>
      </c>
      <c r="G47" s="95" t="str">
        <f aca="false">IF(AND(G33&lt;&gt;"",G36&gt;0),G33/G36,"")</f>
        <v/>
      </c>
      <c r="H47" s="95" t="str">
        <f aca="false">IF(AND(H33&lt;&gt;"",H36&gt;0),H33/H36,"")</f>
        <v/>
      </c>
      <c r="I47" s="95" t="str">
        <f aca="false">IF(AND(I33&lt;&gt;"",I36&gt;0),I33/I36,"")</f>
        <v/>
      </c>
      <c r="J47" s="95" t="str">
        <f aca="false">IF(AND(J33&lt;&gt;"",J36&gt;0),J33/J36,"")</f>
        <v/>
      </c>
      <c r="K47" s="95" t="str">
        <f aca="false">IF(AND(K33&lt;&gt;"",K36&gt;0),K33/K36,"")</f>
        <v/>
      </c>
      <c r="L47" s="95" t="str">
        <f aca="false">IF(AND(L33&lt;&gt;"",L36&gt;0),L33/L36,"")</f>
        <v/>
      </c>
      <c r="M47" s="95" t="str">
        <f aca="false">IF(AND(M33&lt;&gt;"",M36&gt;0),M33/M36,"")</f>
        <v/>
      </c>
      <c r="N47" s="95" t="str">
        <f aca="false">IF(AND(N33&lt;&gt;"",N36&gt;0),N33/N36,"")</f>
        <v/>
      </c>
      <c r="O47" s="95" t="str">
        <f aca="false">IF(AND(O33&lt;&gt;"",O36&gt;0),O33/O36,"")</f>
        <v/>
      </c>
      <c r="P47" s="95" t="str">
        <f aca="false">IF(AND(P33&lt;&gt;"",P36&gt;0),P33/P36,"")</f>
        <v/>
      </c>
      <c r="Q47" s="95" t="str">
        <f aca="false">IF(AND(Q33&lt;&gt;"",Q36&gt;0),Q33/Q36,"")</f>
        <v/>
      </c>
      <c r="R47" s="95" t="str">
        <f aca="false">IF(AND(R33&lt;&gt;"",R36&gt;0),R33/R36,"")</f>
        <v/>
      </c>
      <c r="S47" s="95" t="str">
        <f aca="false">IF(AND(S33&lt;&gt;"",S36&gt;0),S33/S36,"")</f>
        <v/>
      </c>
      <c r="T47" s="95" t="str">
        <f aca="false">IF(AND(T33&lt;&gt;"",T36&gt;0),T33/T36,"")</f>
        <v/>
      </c>
      <c r="U47" s="95" t="str">
        <f aca="false">IF(AND(U33&lt;&gt;"",U36&gt;0),U33/U36,"")</f>
        <v/>
      </c>
      <c r="V47" s="95" t="str">
        <f aca="false">IF(AND(V33&lt;&gt;"",V36&gt;0),V33/V36,"")</f>
        <v/>
      </c>
      <c r="W47" s="1"/>
    </row>
    <row r="48" customFormat="false" ht="15" hidden="false" customHeight="false" outlineLevel="0" collapsed="false">
      <c r="A48" s="1"/>
      <c r="B48" s="1"/>
      <c r="C48" s="1"/>
      <c r="D48" s="1"/>
      <c r="E48" s="1"/>
      <c r="F48" s="1"/>
      <c r="G48" s="1"/>
      <c r="H48" s="1"/>
      <c r="I48" s="1"/>
      <c r="J48" s="1"/>
      <c r="K48" s="1"/>
      <c r="L48" s="1"/>
      <c r="M48" s="1"/>
      <c r="N48" s="1"/>
      <c r="O48" s="1"/>
      <c r="P48" s="1"/>
      <c r="Q48" s="1"/>
      <c r="R48" s="1"/>
      <c r="S48" s="1"/>
      <c r="T48" s="1"/>
      <c r="U48" s="1"/>
      <c r="V48" s="1"/>
      <c r="W48" s="1"/>
    </row>
    <row r="49" customFormat="false" ht="15" hidden="false" customHeight="false" outlineLevel="0" collapsed="false">
      <c r="A49" s="67" t="n">
        <v>46</v>
      </c>
      <c r="B49" s="68" t="s">
        <v>129</v>
      </c>
      <c r="C49" s="69"/>
      <c r="D49" s="69"/>
      <c r="E49" s="69"/>
      <c r="F49" s="69"/>
      <c r="G49" s="69"/>
      <c r="H49" s="69"/>
      <c r="I49" s="69"/>
      <c r="J49" s="69"/>
      <c r="K49" s="69"/>
      <c r="L49" s="69"/>
      <c r="M49" s="69"/>
      <c r="N49" s="69"/>
      <c r="O49" s="69"/>
      <c r="P49" s="69"/>
      <c r="Q49" s="69"/>
      <c r="R49" s="69"/>
      <c r="S49" s="69"/>
      <c r="T49" s="69"/>
      <c r="U49" s="69"/>
      <c r="V49" s="69"/>
      <c r="W49" s="1"/>
    </row>
    <row r="50" customFormat="false" ht="15" hidden="false" customHeight="false" outlineLevel="0" collapsed="false">
      <c r="A50" s="67" t="n">
        <v>47</v>
      </c>
      <c r="B50" s="70" t="s">
        <v>37</v>
      </c>
      <c r="C50" s="98" t="n">
        <f aca="false">IF(C36&gt;0,C26/C36,"")</f>
        <v>0</v>
      </c>
      <c r="D50" s="98" t="n">
        <f aca="false">IF(D36&gt;0,D26/D36,"")</f>
        <v>0</v>
      </c>
      <c r="E50" s="98" t="e">
        <f aca="false">IF(E36&gt;0,E26/E36,"")</f>
        <v>#VALUE!</v>
      </c>
      <c r="F50" s="98" t="e">
        <f aca="false">IF(F36&gt;0,F26/F36,"")</f>
        <v>#VALUE!</v>
      </c>
      <c r="G50" s="98" t="e">
        <f aca="false">IF(G36&gt;0,G26/G36,"")</f>
        <v>#VALUE!</v>
      </c>
      <c r="H50" s="98" t="e">
        <f aca="false">IF(H36&gt;0,H26/H36,"")</f>
        <v>#VALUE!</v>
      </c>
      <c r="I50" s="98" t="e">
        <f aca="false">IF(I36&gt;0,I26/I36,"")</f>
        <v>#VALUE!</v>
      </c>
      <c r="J50" s="98" t="e">
        <f aca="false">IF(J36&gt;0,J26/J36,"")</f>
        <v>#VALUE!</v>
      </c>
      <c r="K50" s="98" t="e">
        <f aca="false">IF(K36&gt;0,K26/K36,"")</f>
        <v>#VALUE!</v>
      </c>
      <c r="L50" s="98" t="e">
        <f aca="false">IF(L36&gt;0,L26/L36,"")</f>
        <v>#VALUE!</v>
      </c>
      <c r="M50" s="98" t="e">
        <f aca="false">IF(M36&gt;0,M26/M36,"")</f>
        <v>#VALUE!</v>
      </c>
      <c r="N50" s="98" t="e">
        <f aca="false">IF(N36&gt;0,N26/N36,"")</f>
        <v>#VALUE!</v>
      </c>
      <c r="O50" s="98" t="e">
        <f aca="false">IF(O36&gt;0,O26/O36,"")</f>
        <v>#VALUE!</v>
      </c>
      <c r="P50" s="98" t="e">
        <f aca="false">IF(P36&gt;0,P26/P36,"")</f>
        <v>#VALUE!</v>
      </c>
      <c r="Q50" s="98" t="e">
        <f aca="false">IF(Q36&gt;0,Q26/Q36,"")</f>
        <v>#VALUE!</v>
      </c>
      <c r="R50" s="98" t="e">
        <f aca="false">IF(R36&gt;0,R26/R36,"")</f>
        <v>#VALUE!</v>
      </c>
      <c r="S50" s="98" t="e">
        <f aca="false">IF(S36&gt;0,S26/S36,"")</f>
        <v>#VALUE!</v>
      </c>
      <c r="T50" s="98" t="e">
        <f aca="false">IF(T36&gt;0,T26/T36,"")</f>
        <v>#VALUE!</v>
      </c>
      <c r="U50" s="98" t="e">
        <f aca="false">IF(U36&gt;0,U26/U36,"")</f>
        <v>#VALUE!</v>
      </c>
      <c r="V50" s="98" t="e">
        <f aca="false">IF(V36&gt;0,V26/V36,"")</f>
        <v>#VALUE!</v>
      </c>
      <c r="W50" s="1"/>
    </row>
    <row r="51" customFormat="false" ht="15" hidden="false" customHeight="false" outlineLevel="0" collapsed="false">
      <c r="A51" s="67" t="n">
        <v>48</v>
      </c>
      <c r="B51" s="70" t="s">
        <v>130</v>
      </c>
      <c r="C51" s="98" t="n">
        <f aca="false">IF(C36&gt;0,C29/C36,"")</f>
        <v>3.37304352091765E-008</v>
      </c>
      <c r="D51" s="98" t="n">
        <f aca="false">IF(D36&gt;0,D29/D36,"")</f>
        <v>5.5169369965795E-005</v>
      </c>
      <c r="E51" s="98" t="e">
        <f aca="false">IF(E36&gt;0,E29/E36,"")</f>
        <v>#VALUE!</v>
      </c>
      <c r="F51" s="98" t="e">
        <f aca="false">IF(F36&gt;0,F29/F36,"")</f>
        <v>#VALUE!</v>
      </c>
      <c r="G51" s="98" t="e">
        <f aca="false">IF(G36&gt;0,G29/G36,"")</f>
        <v>#VALUE!</v>
      </c>
      <c r="H51" s="98" t="e">
        <f aca="false">IF(H36&gt;0,H29/H36,"")</f>
        <v>#VALUE!</v>
      </c>
      <c r="I51" s="98" t="e">
        <f aca="false">IF(I36&gt;0,I29/I36,"")</f>
        <v>#VALUE!</v>
      </c>
      <c r="J51" s="98" t="e">
        <f aca="false">IF(J36&gt;0,J29/J36,"")</f>
        <v>#VALUE!</v>
      </c>
      <c r="K51" s="98" t="e">
        <f aca="false">IF(K36&gt;0,K29/K36,"")</f>
        <v>#VALUE!</v>
      </c>
      <c r="L51" s="98" t="e">
        <f aca="false">IF(L36&gt;0,L29/L36,"")</f>
        <v>#VALUE!</v>
      </c>
      <c r="M51" s="98" t="e">
        <f aca="false">IF(M36&gt;0,M29/M36,"")</f>
        <v>#VALUE!</v>
      </c>
      <c r="N51" s="98" t="e">
        <f aca="false">IF(N36&gt;0,N29/N36,"")</f>
        <v>#VALUE!</v>
      </c>
      <c r="O51" s="98" t="e">
        <f aca="false">IF(O36&gt;0,O29/O36,"")</f>
        <v>#VALUE!</v>
      </c>
      <c r="P51" s="98" t="e">
        <f aca="false">IF(P36&gt;0,P29/P36,"")</f>
        <v>#VALUE!</v>
      </c>
      <c r="Q51" s="98" t="e">
        <f aca="false">IF(Q36&gt;0,Q29/Q36,"")</f>
        <v>#VALUE!</v>
      </c>
      <c r="R51" s="98" t="e">
        <f aca="false">IF(R36&gt;0,R29/R36,"")</f>
        <v>#VALUE!</v>
      </c>
      <c r="S51" s="98" t="e">
        <f aca="false">IF(S36&gt;0,S29/S36,"")</f>
        <v>#VALUE!</v>
      </c>
      <c r="T51" s="98" t="e">
        <f aca="false">IF(T36&gt;0,T29/T36,"")</f>
        <v>#VALUE!</v>
      </c>
      <c r="U51" s="98" t="e">
        <f aca="false">IF(U36&gt;0,U29/U36,"")</f>
        <v>#VALUE!</v>
      </c>
      <c r="V51" s="98" t="e">
        <f aca="false">IF(V36&gt;0,V29/V36,"")</f>
        <v>#VALUE!</v>
      </c>
      <c r="W51" s="1"/>
    </row>
    <row r="52" customFormat="false" ht="15" hidden="false" customHeight="false" outlineLevel="0" collapsed="false">
      <c r="A52" s="67" t="n">
        <v>49</v>
      </c>
      <c r="B52" s="70" t="s">
        <v>131</v>
      </c>
      <c r="C52" s="98" t="n">
        <f aca="false">IF(C36&gt;0,C16/C36,"")</f>
        <v>0.999420302494118</v>
      </c>
      <c r="D52" s="98" t="n">
        <f aca="false">IF(D36&gt;0,D16/D36,"")</f>
        <v>0</v>
      </c>
      <c r="E52" s="98" t="e">
        <f aca="false">IF(E36&gt;0,E16/E36,"")</f>
        <v>#VALUE!</v>
      </c>
      <c r="F52" s="98" t="e">
        <f aca="false">IF(F36&gt;0,F16/F36,"")</f>
        <v>#VALUE!</v>
      </c>
      <c r="G52" s="98" t="e">
        <f aca="false">IF(G36&gt;0,G16/G36,"")</f>
        <v>#VALUE!</v>
      </c>
      <c r="H52" s="98" t="e">
        <f aca="false">IF(H36&gt;0,H16/H36,"")</f>
        <v>#VALUE!</v>
      </c>
      <c r="I52" s="98" t="e">
        <f aca="false">IF(I36&gt;0,I16/I36,"")</f>
        <v>#VALUE!</v>
      </c>
      <c r="J52" s="98" t="e">
        <f aca="false">IF(J36&gt;0,J16/J36,"")</f>
        <v>#VALUE!</v>
      </c>
      <c r="K52" s="98" t="e">
        <f aca="false">IF(K36&gt;0,K16/K36,"")</f>
        <v>#VALUE!</v>
      </c>
      <c r="L52" s="98" t="e">
        <f aca="false">IF(L36&gt;0,L16/L36,"")</f>
        <v>#VALUE!</v>
      </c>
      <c r="M52" s="98" t="e">
        <f aca="false">IF(M36&gt;0,M16/M36,"")</f>
        <v>#VALUE!</v>
      </c>
      <c r="N52" s="98" t="e">
        <f aca="false">IF(N36&gt;0,N16/N36,"")</f>
        <v>#VALUE!</v>
      </c>
      <c r="O52" s="98" t="e">
        <f aca="false">IF(O36&gt;0,O16/O36,"")</f>
        <v>#VALUE!</v>
      </c>
      <c r="P52" s="98" t="e">
        <f aca="false">IF(P36&gt;0,P16/P36,"")</f>
        <v>#VALUE!</v>
      </c>
      <c r="Q52" s="98" t="e">
        <f aca="false">IF(Q36&gt;0,Q16/Q36,"")</f>
        <v>#VALUE!</v>
      </c>
      <c r="R52" s="98" t="e">
        <f aca="false">IF(R36&gt;0,R16/R36,"")</f>
        <v>#VALUE!</v>
      </c>
      <c r="S52" s="98" t="e">
        <f aca="false">IF(S36&gt;0,S16/S36,"")</f>
        <v>#VALUE!</v>
      </c>
      <c r="T52" s="98" t="e">
        <f aca="false">IF(T36&gt;0,T16/T36,"")</f>
        <v>#VALUE!</v>
      </c>
      <c r="U52" s="98" t="e">
        <f aca="false">IF(U36&gt;0,U16/U36,"")</f>
        <v>#VALUE!</v>
      </c>
      <c r="V52" s="98" t="e">
        <f aca="false">IF(V36&gt;0,V16/V36,"")</f>
        <v>#VALUE!</v>
      </c>
      <c r="W52" s="1"/>
    </row>
    <row r="53" customFormat="false" ht="15" hidden="false" customHeight="false" outlineLevel="0" collapsed="false">
      <c r="A53" s="67" t="n">
        <v>50</v>
      </c>
      <c r="B53" s="70" t="s">
        <v>132</v>
      </c>
      <c r="C53" s="98" t="n">
        <f aca="false">IF(C36&gt;0,C17/C36,"")</f>
        <v>0</v>
      </c>
      <c r="D53" s="98" t="n">
        <f aca="false">IF(D36&gt;0,D17/D36,"")</f>
        <v>0</v>
      </c>
      <c r="E53" s="98" t="e">
        <f aca="false">IF(E36&gt;0,E17/E36,"")</f>
        <v>#VALUE!</v>
      </c>
      <c r="F53" s="98" t="e">
        <f aca="false">IF(F36&gt;0,F17/F36,"")</f>
        <v>#VALUE!</v>
      </c>
      <c r="G53" s="98" t="e">
        <f aca="false">IF(G36&gt;0,G17/G36,"")</f>
        <v>#VALUE!</v>
      </c>
      <c r="H53" s="98" t="e">
        <f aca="false">IF(H36&gt;0,H17/H36,"")</f>
        <v>#VALUE!</v>
      </c>
      <c r="I53" s="98" t="e">
        <f aca="false">IF(I36&gt;0,I17/I36,"")</f>
        <v>#VALUE!</v>
      </c>
      <c r="J53" s="98" t="e">
        <f aca="false">IF(J36&gt;0,J17/J36,"")</f>
        <v>#VALUE!</v>
      </c>
      <c r="K53" s="98" t="e">
        <f aca="false">IF(K36&gt;0,K17/K36,"")</f>
        <v>#VALUE!</v>
      </c>
      <c r="L53" s="98" t="e">
        <f aca="false">IF(L36&gt;0,L17/L36,"")</f>
        <v>#VALUE!</v>
      </c>
      <c r="M53" s="98" t="e">
        <f aca="false">IF(M36&gt;0,M17/M36,"")</f>
        <v>#VALUE!</v>
      </c>
      <c r="N53" s="98" t="e">
        <f aca="false">IF(N36&gt;0,N17/N36,"")</f>
        <v>#VALUE!</v>
      </c>
      <c r="O53" s="98" t="e">
        <f aca="false">IF(O36&gt;0,O17/O36,"")</f>
        <v>#VALUE!</v>
      </c>
      <c r="P53" s="98" t="e">
        <f aca="false">IF(P36&gt;0,P17/P36,"")</f>
        <v>#VALUE!</v>
      </c>
      <c r="Q53" s="98" t="e">
        <f aca="false">IF(Q36&gt;0,Q17/Q36,"")</f>
        <v>#VALUE!</v>
      </c>
      <c r="R53" s="98" t="e">
        <f aca="false">IF(R36&gt;0,R17/R36,"")</f>
        <v>#VALUE!</v>
      </c>
      <c r="S53" s="98" t="e">
        <f aca="false">IF(S36&gt;0,S17/S36,"")</f>
        <v>#VALUE!</v>
      </c>
      <c r="T53" s="98" t="e">
        <f aca="false">IF(T36&gt;0,T17/T36,"")</f>
        <v>#VALUE!</v>
      </c>
      <c r="U53" s="98" t="e">
        <f aca="false">IF(U36&gt;0,U17/U36,"")</f>
        <v>#VALUE!</v>
      </c>
      <c r="V53" s="98" t="e">
        <f aca="false">IF(V36&gt;0,V17/V36,"")</f>
        <v>#VALUE!</v>
      </c>
      <c r="W53" s="1"/>
    </row>
    <row r="54" customFormat="false" ht="15" hidden="false" customHeight="false" outlineLevel="0" collapsed="false">
      <c r="A54" s="67" t="n">
        <v>51</v>
      </c>
      <c r="B54" s="70" t="s">
        <v>133</v>
      </c>
      <c r="C54" s="98" t="n">
        <f aca="false">IF(C36&gt;0,C18/C36,"")</f>
        <v>0.000579663775446589</v>
      </c>
      <c r="D54" s="98" t="n">
        <f aca="false">IF(D36&gt;0,D18/D36,"")</f>
        <v>0.999944830630034</v>
      </c>
      <c r="E54" s="98" t="e">
        <f aca="false">IF(E36&gt;0,E18/E36,"")</f>
        <v>#VALUE!</v>
      </c>
      <c r="F54" s="98" t="e">
        <f aca="false">IF(F36&gt;0,F18/F36,"")</f>
        <v>#VALUE!</v>
      </c>
      <c r="G54" s="98" t="e">
        <f aca="false">IF(G36&gt;0,G18/G36,"")</f>
        <v>#VALUE!</v>
      </c>
      <c r="H54" s="98" t="e">
        <f aca="false">IF(H36&gt;0,H18/H36,"")</f>
        <v>#VALUE!</v>
      </c>
      <c r="I54" s="98" t="e">
        <f aca="false">IF(I36&gt;0,I18/I36,"")</f>
        <v>#VALUE!</v>
      </c>
      <c r="J54" s="98" t="e">
        <f aca="false">IF(J36&gt;0,J18/J36,"")</f>
        <v>#VALUE!</v>
      </c>
      <c r="K54" s="98" t="e">
        <f aca="false">IF(K36&gt;0,K18/K36,"")</f>
        <v>#VALUE!</v>
      </c>
      <c r="L54" s="98" t="e">
        <f aca="false">IF(L36&gt;0,L18/L36,"")</f>
        <v>#VALUE!</v>
      </c>
      <c r="M54" s="98" t="e">
        <f aca="false">IF(M36&gt;0,M18/M36,"")</f>
        <v>#VALUE!</v>
      </c>
      <c r="N54" s="98" t="e">
        <f aca="false">IF(N36&gt;0,N18/N36,"")</f>
        <v>#VALUE!</v>
      </c>
      <c r="O54" s="98" t="e">
        <f aca="false">IF(O36&gt;0,O18/O36,"")</f>
        <v>#VALUE!</v>
      </c>
      <c r="P54" s="98" t="e">
        <f aca="false">IF(P36&gt;0,P18/P36,"")</f>
        <v>#VALUE!</v>
      </c>
      <c r="Q54" s="98" t="e">
        <f aca="false">IF(Q36&gt;0,Q18/Q36,"")</f>
        <v>#VALUE!</v>
      </c>
      <c r="R54" s="98" t="e">
        <f aca="false">IF(R36&gt;0,R18/R36,"")</f>
        <v>#VALUE!</v>
      </c>
      <c r="S54" s="98" t="e">
        <f aca="false">IF(S36&gt;0,S18/S36,"")</f>
        <v>#VALUE!</v>
      </c>
      <c r="T54" s="98" t="e">
        <f aca="false">IF(T36&gt;0,T18/T36,"")</f>
        <v>#VALUE!</v>
      </c>
      <c r="U54" s="98" t="e">
        <f aca="false">IF(U36&gt;0,U18/U36,"")</f>
        <v>#VALUE!</v>
      </c>
      <c r="V54" s="98" t="e">
        <f aca="false">IF(V36&gt;0,V18/V36,"")</f>
        <v>#VALUE!</v>
      </c>
      <c r="W54" s="1"/>
    </row>
    <row r="55" customFormat="false" ht="15" hidden="false" customHeight="false" outlineLevel="0" collapsed="false">
      <c r="A55" s="1"/>
      <c r="B55" s="1"/>
      <c r="C55" s="1"/>
      <c r="D55" s="1"/>
      <c r="E55" s="1"/>
      <c r="F55" s="1"/>
      <c r="G55" s="1"/>
      <c r="H55" s="1"/>
      <c r="I55" s="1"/>
      <c r="J55" s="1"/>
      <c r="K55" s="1"/>
      <c r="L55" s="1"/>
      <c r="M55" s="1"/>
      <c r="N55" s="1"/>
      <c r="O55" s="1"/>
      <c r="P55" s="1"/>
      <c r="Q55" s="1"/>
      <c r="R55" s="1"/>
      <c r="S55" s="1"/>
      <c r="T55" s="1"/>
      <c r="U55" s="1"/>
      <c r="V55" s="1"/>
      <c r="W55" s="1"/>
    </row>
    <row r="56" customFormat="false" ht="15" hidden="false" customHeight="false" outlineLevel="0" collapsed="false">
      <c r="A56" s="1"/>
      <c r="B56" s="1"/>
      <c r="C56" s="1"/>
      <c r="D56" s="1"/>
      <c r="E56" s="1"/>
      <c r="F56" s="1"/>
      <c r="G56" s="1"/>
      <c r="H56" s="1"/>
      <c r="I56" s="1"/>
      <c r="J56" s="1"/>
      <c r="K56" s="1"/>
      <c r="L56" s="1"/>
      <c r="M56" s="1"/>
      <c r="N56" s="1"/>
      <c r="O56" s="1"/>
      <c r="P56" s="1"/>
      <c r="Q56" s="1"/>
      <c r="R56" s="1"/>
      <c r="S56" s="1"/>
      <c r="T56" s="1"/>
      <c r="U56" s="1"/>
      <c r="V56" s="1"/>
      <c r="W56" s="1"/>
    </row>
    <row r="57" customFormat="false" ht="15" hidden="false" customHeight="false" outlineLevel="0" collapsed="false">
      <c r="A57" s="1"/>
      <c r="B57" s="1"/>
      <c r="C57" s="1"/>
      <c r="D57" s="1"/>
      <c r="E57" s="1"/>
      <c r="F57" s="1"/>
      <c r="G57" s="1"/>
      <c r="H57" s="1"/>
      <c r="I57" s="1"/>
      <c r="J57" s="1"/>
      <c r="K57" s="1"/>
      <c r="L57" s="1"/>
      <c r="M57" s="1"/>
      <c r="N57" s="1"/>
      <c r="O57" s="1"/>
      <c r="P57" s="1"/>
      <c r="Q57" s="1"/>
      <c r="R57" s="1"/>
      <c r="S57" s="1"/>
      <c r="T57" s="1"/>
      <c r="U57" s="1"/>
      <c r="V57" s="1"/>
      <c r="W57" s="1"/>
    </row>
  </sheetData>
  <mergeCells count="1">
    <mergeCell ref="B2:L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55"/>
  <sheetViews>
    <sheetView showFormulas="false" showGridLines="true" showRowColHeaders="true" showZeros="true" rightToLeft="false" tabSelected="true" showOutlineSymbols="true" defaultGridColor="true" view="normal" topLeftCell="A31" colorId="64" zoomScale="100" zoomScaleNormal="100" zoomScalePageLayoutView="100" workbookViewId="0">
      <selection pane="topLeft" activeCell="I46" activeCellId="0" sqref="I46"/>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5"/>
    <col collapsed="false" customWidth="true" hidden="false" outlineLevel="0" max="3" min="3" style="0" width="15"/>
    <col collapsed="false" customWidth="true" hidden="false" outlineLevel="0" max="4" min="4" style="0" width="94.15"/>
    <col collapsed="false" customWidth="true" hidden="false" outlineLevel="0" max="5" min="5" style="0" width="30"/>
    <col collapsed="false" customWidth="true" hidden="false" outlineLevel="0" max="6" min="6" style="0" width="3"/>
  </cols>
  <sheetData>
    <row r="1" customFormat="false" ht="15" hidden="false" customHeight="false" outlineLevel="0" collapsed="false">
      <c r="A1" s="1"/>
      <c r="B1" s="1"/>
      <c r="C1" s="1"/>
      <c r="D1" s="1"/>
      <c r="E1" s="1"/>
      <c r="F1" s="1"/>
    </row>
    <row r="2" customFormat="false" ht="15" hidden="false" customHeight="true" outlineLevel="0" collapsed="false">
      <c r="A2" s="1"/>
      <c r="B2" s="99" t="s">
        <v>134</v>
      </c>
      <c r="C2" s="99"/>
      <c r="D2" s="99"/>
      <c r="E2" s="99"/>
      <c r="F2" s="1"/>
    </row>
    <row r="3" customFormat="false" ht="15" hidden="false" customHeight="true" outlineLevel="0" collapsed="false">
      <c r="A3" s="1"/>
      <c r="B3" s="100" t="s">
        <v>135</v>
      </c>
      <c r="C3" s="100"/>
      <c r="D3" s="100"/>
      <c r="E3" s="100"/>
      <c r="F3" s="1"/>
    </row>
    <row r="4" customFormat="false" ht="15" hidden="false" customHeight="false" outlineLevel="0" collapsed="false">
      <c r="A4" s="1"/>
      <c r="B4" s="1"/>
      <c r="C4" s="1"/>
      <c r="D4" s="1"/>
      <c r="E4" s="1"/>
      <c r="F4" s="1"/>
    </row>
    <row r="5" customFormat="false" ht="15" hidden="false" customHeight="true" outlineLevel="0" collapsed="false">
      <c r="A5" s="1"/>
      <c r="B5" s="101" t="s">
        <v>136</v>
      </c>
      <c r="C5" s="101"/>
      <c r="D5" s="101"/>
      <c r="E5" s="101"/>
      <c r="F5" s="1"/>
    </row>
    <row r="6" customFormat="false" ht="15" hidden="false" customHeight="true" outlineLevel="0" collapsed="false">
      <c r="A6" s="1"/>
      <c r="B6" s="102" t="s">
        <v>137</v>
      </c>
      <c r="C6" s="102"/>
      <c r="D6" s="102"/>
      <c r="E6" s="102"/>
      <c r="F6" s="1"/>
    </row>
    <row r="7" customFormat="false" ht="15" hidden="false" customHeight="false" outlineLevel="0" collapsed="false">
      <c r="A7" s="1"/>
      <c r="B7" s="1"/>
      <c r="C7" s="1"/>
      <c r="D7" s="1"/>
      <c r="E7" s="1"/>
      <c r="F7" s="1"/>
    </row>
    <row r="8" customFormat="false" ht="15" hidden="false" customHeight="true" outlineLevel="0" collapsed="false">
      <c r="A8" s="1"/>
      <c r="B8" s="102" t="s">
        <v>138</v>
      </c>
      <c r="C8" s="102"/>
      <c r="D8" s="102"/>
      <c r="E8" s="102"/>
      <c r="F8" s="1"/>
    </row>
    <row r="9" customFormat="false" ht="15" hidden="false" customHeight="true" outlineLevel="0" collapsed="false">
      <c r="A9" s="1"/>
      <c r="B9" s="102" t="s">
        <v>139</v>
      </c>
      <c r="C9" s="102"/>
      <c r="D9" s="102"/>
      <c r="E9" s="102"/>
      <c r="F9" s="1"/>
    </row>
    <row r="10" customFormat="false" ht="15" hidden="false" customHeight="true" outlineLevel="0" collapsed="false">
      <c r="A10" s="1"/>
      <c r="B10" s="102" t="s">
        <v>140</v>
      </c>
      <c r="C10" s="102"/>
      <c r="D10" s="102"/>
      <c r="E10" s="102"/>
      <c r="F10" s="1"/>
    </row>
    <row r="11" customFormat="false" ht="15" hidden="false" customHeight="false" outlineLevel="0" collapsed="false">
      <c r="A11" s="1"/>
      <c r="B11" s="1"/>
      <c r="C11" s="1"/>
      <c r="D11" s="1"/>
      <c r="E11" s="1"/>
      <c r="F11" s="1"/>
    </row>
    <row r="12" customFormat="false" ht="15" hidden="false" customHeight="true" outlineLevel="0" collapsed="false">
      <c r="A12" s="1"/>
      <c r="B12" s="101" t="s">
        <v>141</v>
      </c>
      <c r="C12" s="101"/>
      <c r="D12" s="101"/>
      <c r="E12" s="101"/>
      <c r="F12" s="1"/>
    </row>
    <row r="13" customFormat="false" ht="15" hidden="false" customHeight="false" outlineLevel="0" collapsed="false">
      <c r="A13" s="1"/>
      <c r="B13" s="1"/>
      <c r="C13" s="1"/>
      <c r="D13" s="1"/>
      <c r="E13" s="1"/>
      <c r="F13" s="1"/>
    </row>
    <row r="14" customFormat="false" ht="15" hidden="false" customHeight="true" outlineLevel="0" collapsed="false">
      <c r="A14" s="1"/>
      <c r="B14" s="103" t="s">
        <v>142</v>
      </c>
      <c r="C14" s="103"/>
      <c r="D14" s="103"/>
      <c r="E14" s="103"/>
      <c r="F14" s="1"/>
    </row>
    <row r="15" customFormat="false" ht="15" hidden="false" customHeight="true" outlineLevel="0" collapsed="false">
      <c r="A15" s="1"/>
      <c r="B15" s="102" t="s">
        <v>143</v>
      </c>
      <c r="C15" s="102"/>
      <c r="D15" s="102"/>
      <c r="E15" s="102"/>
      <c r="F15" s="1"/>
    </row>
    <row r="16" customFormat="false" ht="15" hidden="false" customHeight="false" outlineLevel="0" collapsed="false">
      <c r="A16" s="1"/>
      <c r="B16" s="1"/>
      <c r="C16" s="1"/>
      <c r="D16" s="1"/>
      <c r="E16" s="1"/>
      <c r="F16" s="1"/>
    </row>
    <row r="17" customFormat="false" ht="15" hidden="false" customHeight="true" outlineLevel="0" collapsed="false">
      <c r="A17" s="1"/>
      <c r="B17" s="103" t="s">
        <v>144</v>
      </c>
      <c r="C17" s="103"/>
      <c r="D17" s="103"/>
      <c r="E17" s="103"/>
      <c r="F17" s="1"/>
    </row>
    <row r="18" customFormat="false" ht="15" hidden="false" customHeight="true" outlineLevel="0" collapsed="false">
      <c r="A18" s="1"/>
      <c r="B18" s="102" t="s">
        <v>145</v>
      </c>
      <c r="C18" s="102"/>
      <c r="D18" s="102"/>
      <c r="E18" s="102"/>
      <c r="F18" s="1"/>
    </row>
    <row r="19" customFormat="false" ht="15" hidden="false" customHeight="false" outlineLevel="0" collapsed="false">
      <c r="A19" s="1"/>
      <c r="B19" s="1"/>
      <c r="C19" s="1"/>
      <c r="D19" s="1"/>
      <c r="E19" s="1"/>
      <c r="F19" s="1"/>
    </row>
    <row r="20" customFormat="false" ht="15" hidden="false" customHeight="true" outlineLevel="0" collapsed="false">
      <c r="A20" s="1"/>
      <c r="B20" s="103" t="s">
        <v>146</v>
      </c>
      <c r="C20" s="103"/>
      <c r="D20" s="103"/>
      <c r="E20" s="103"/>
      <c r="F20" s="1"/>
    </row>
    <row r="21" customFormat="false" ht="15" hidden="false" customHeight="true" outlineLevel="0" collapsed="false">
      <c r="A21" s="1"/>
      <c r="B21" s="102" t="s">
        <v>147</v>
      </c>
      <c r="C21" s="102"/>
      <c r="D21" s="102"/>
      <c r="E21" s="102"/>
      <c r="F21" s="1"/>
    </row>
    <row r="22" customFormat="false" ht="15" hidden="false" customHeight="false" outlineLevel="0" collapsed="false">
      <c r="A22" s="1"/>
      <c r="B22" s="1"/>
      <c r="C22" s="1"/>
      <c r="D22" s="1"/>
      <c r="E22" s="1"/>
      <c r="F22" s="1"/>
    </row>
    <row r="23" customFormat="false" ht="15" hidden="false" customHeight="true" outlineLevel="0" collapsed="false">
      <c r="A23" s="1"/>
      <c r="B23" s="101" t="s">
        <v>148</v>
      </c>
      <c r="C23" s="101"/>
      <c r="D23" s="101"/>
      <c r="E23" s="101"/>
      <c r="F23" s="1"/>
    </row>
    <row r="24" customFormat="false" ht="15" hidden="false" customHeight="false" outlineLevel="0" collapsed="false">
      <c r="A24" s="1"/>
      <c r="B24" s="1"/>
      <c r="C24" s="1"/>
      <c r="D24" s="1"/>
      <c r="E24" s="1"/>
      <c r="F24" s="1"/>
    </row>
    <row r="25" customFormat="false" ht="15" hidden="false" customHeight="true" outlineLevel="0" collapsed="false">
      <c r="A25" s="1"/>
      <c r="B25" s="104" t="s">
        <v>149</v>
      </c>
      <c r="C25" s="104"/>
      <c r="D25" s="104"/>
      <c r="E25" s="104"/>
      <c r="F25" s="1"/>
    </row>
    <row r="26" customFormat="false" ht="15" hidden="false" customHeight="false" outlineLevel="0" collapsed="false">
      <c r="A26" s="1"/>
      <c r="B26" s="1"/>
      <c r="C26" s="1"/>
      <c r="D26" s="1"/>
      <c r="E26" s="1"/>
      <c r="F26" s="1"/>
    </row>
    <row r="27" customFormat="false" ht="15" hidden="false" customHeight="true" outlineLevel="0" collapsed="false">
      <c r="A27" s="1"/>
      <c r="B27" s="105" t="s">
        <v>150</v>
      </c>
      <c r="C27" s="105"/>
      <c r="D27" s="105"/>
      <c r="E27" s="105"/>
      <c r="F27" s="1"/>
    </row>
    <row r="28" customFormat="false" ht="15" hidden="false" customHeight="true" outlineLevel="0" collapsed="false">
      <c r="A28" s="1"/>
      <c r="B28" s="104" t="s">
        <v>151</v>
      </c>
      <c r="C28" s="104"/>
      <c r="D28" s="104"/>
      <c r="E28" s="104"/>
      <c r="F28" s="1"/>
    </row>
    <row r="29" customFormat="false" ht="15" hidden="false" customHeight="true" outlineLevel="0" collapsed="false">
      <c r="A29" s="1"/>
      <c r="B29" s="104" t="s">
        <v>152</v>
      </c>
      <c r="C29" s="104"/>
      <c r="D29" s="104"/>
      <c r="E29" s="104"/>
      <c r="F29" s="1"/>
    </row>
    <row r="30" customFormat="false" ht="15" hidden="false" customHeight="true" outlineLevel="0" collapsed="false">
      <c r="A30" s="1"/>
      <c r="B30" s="104" t="s">
        <v>153</v>
      </c>
      <c r="C30" s="104"/>
      <c r="D30" s="104"/>
      <c r="E30" s="104"/>
      <c r="F30" s="1"/>
    </row>
    <row r="31" customFormat="false" ht="15" hidden="false" customHeight="false" outlineLevel="0" collapsed="false">
      <c r="A31" s="1"/>
      <c r="B31" s="1"/>
      <c r="C31" s="1"/>
      <c r="D31" s="1"/>
      <c r="E31" s="1"/>
      <c r="F31" s="1"/>
    </row>
    <row r="32" customFormat="false" ht="15" hidden="false" customHeight="true" outlineLevel="0" collapsed="false">
      <c r="A32" s="1"/>
      <c r="B32" s="105" t="s">
        <v>154</v>
      </c>
      <c r="C32" s="105"/>
      <c r="D32" s="105"/>
      <c r="E32" s="105"/>
      <c r="F32" s="1"/>
    </row>
    <row r="33" customFormat="false" ht="15" hidden="false" customHeight="true" outlineLevel="0" collapsed="false">
      <c r="A33" s="1"/>
      <c r="B33" s="104" t="s">
        <v>155</v>
      </c>
      <c r="C33" s="104"/>
      <c r="D33" s="104"/>
      <c r="E33" s="104"/>
      <c r="F33" s="1"/>
    </row>
    <row r="34" customFormat="false" ht="15" hidden="false" customHeight="true" outlineLevel="0" collapsed="false">
      <c r="A34" s="1"/>
      <c r="B34" s="104" t="s">
        <v>156</v>
      </c>
      <c r="C34" s="104"/>
      <c r="D34" s="104"/>
      <c r="E34" s="104"/>
      <c r="F34" s="1"/>
    </row>
    <row r="35" customFormat="false" ht="15" hidden="false" customHeight="false" outlineLevel="0" collapsed="false">
      <c r="A35" s="1"/>
      <c r="B35" s="1"/>
      <c r="C35" s="1"/>
      <c r="D35" s="1"/>
      <c r="E35" s="1"/>
      <c r="F35" s="1"/>
      <c r="L35" s="0" t="s">
        <v>157</v>
      </c>
    </row>
    <row r="36" customFormat="false" ht="15" hidden="false" customHeight="true" outlineLevel="0" collapsed="false">
      <c r="A36" s="1"/>
      <c r="B36" s="101" t="s">
        <v>158</v>
      </c>
      <c r="C36" s="101"/>
      <c r="D36" s="101"/>
      <c r="E36" s="101"/>
      <c r="F36" s="1"/>
    </row>
    <row r="37" customFormat="false" ht="15" hidden="false" customHeight="false" outlineLevel="0" collapsed="false">
      <c r="A37" s="1"/>
      <c r="B37" s="1"/>
      <c r="C37" s="1"/>
      <c r="D37" s="1"/>
      <c r="E37" s="1"/>
      <c r="F37" s="1"/>
    </row>
    <row r="38" customFormat="false" ht="15" hidden="false" customHeight="true" outlineLevel="0" collapsed="false">
      <c r="A38" s="1"/>
      <c r="B38" s="103" t="s">
        <v>53</v>
      </c>
      <c r="C38" s="103"/>
      <c r="D38" s="103"/>
      <c r="E38" s="103"/>
      <c r="F38" s="1"/>
    </row>
    <row r="39" customFormat="false" ht="15" hidden="false" customHeight="false" outlineLevel="0" collapsed="false">
      <c r="A39" s="1"/>
      <c r="B39" s="106" t="s">
        <v>3</v>
      </c>
      <c r="C39" s="107" t="s">
        <v>159</v>
      </c>
      <c r="D39" s="108" t="s">
        <v>160</v>
      </c>
      <c r="E39" s="107" t="s">
        <v>161</v>
      </c>
      <c r="F39" s="1"/>
    </row>
    <row r="40" customFormat="false" ht="15" hidden="false" customHeight="false" outlineLevel="0" collapsed="false">
      <c r="A40" s="1"/>
      <c r="B40" s="106" t="s">
        <v>6</v>
      </c>
      <c r="C40" s="107" t="s">
        <v>159</v>
      </c>
      <c r="D40" s="108" t="s">
        <v>162</v>
      </c>
      <c r="E40" s="107" t="s">
        <v>163</v>
      </c>
      <c r="F40" s="1"/>
    </row>
    <row r="41" customFormat="false" ht="15" hidden="false" customHeight="false" outlineLevel="0" collapsed="false">
      <c r="A41" s="1"/>
      <c r="B41" s="1"/>
      <c r="C41" s="1"/>
      <c r="D41" s="1"/>
      <c r="E41" s="1"/>
      <c r="F41" s="1"/>
    </row>
    <row r="42" customFormat="false" ht="15" hidden="false" customHeight="true" outlineLevel="0" collapsed="false">
      <c r="A42" s="1"/>
      <c r="B42" s="103" t="s">
        <v>9</v>
      </c>
      <c r="C42" s="103"/>
      <c r="D42" s="103"/>
      <c r="E42" s="103"/>
      <c r="F42" s="1"/>
    </row>
    <row r="43" customFormat="false" ht="15" hidden="false" customHeight="false" outlineLevel="0" collapsed="false">
      <c r="A43" s="1"/>
      <c r="B43" s="106" t="s">
        <v>164</v>
      </c>
      <c r="C43" s="107" t="s">
        <v>165</v>
      </c>
      <c r="D43" s="108" t="s">
        <v>166</v>
      </c>
      <c r="E43" s="107" t="s">
        <v>167</v>
      </c>
      <c r="F43" s="1"/>
    </row>
    <row r="44" customFormat="false" ht="23.85" hidden="false" customHeight="false" outlineLevel="0" collapsed="false">
      <c r="A44" s="1"/>
      <c r="B44" s="106" t="s">
        <v>168</v>
      </c>
      <c r="C44" s="107" t="s">
        <v>169</v>
      </c>
      <c r="D44" s="108" t="s">
        <v>170</v>
      </c>
      <c r="E44" s="107" t="s">
        <v>171</v>
      </c>
      <c r="F44" s="1"/>
    </row>
    <row r="45" customFormat="false" ht="23.85" hidden="false" customHeight="false" outlineLevel="0" collapsed="false">
      <c r="A45" s="1"/>
      <c r="B45" s="106" t="s">
        <v>172</v>
      </c>
      <c r="C45" s="107" t="s">
        <v>173</v>
      </c>
      <c r="D45" s="108" t="s">
        <v>174</v>
      </c>
      <c r="E45" s="107" t="s">
        <v>175</v>
      </c>
      <c r="F45" s="1"/>
    </row>
    <row r="46" customFormat="false" ht="23.85" hidden="false" customHeight="false" outlineLevel="0" collapsed="false">
      <c r="A46" s="1"/>
      <c r="B46" s="106" t="s">
        <v>176</v>
      </c>
      <c r="C46" s="107" t="s">
        <v>177</v>
      </c>
      <c r="D46" s="108" t="s">
        <v>178</v>
      </c>
      <c r="E46" s="107" t="s">
        <v>179</v>
      </c>
      <c r="F46" s="1"/>
    </row>
    <row r="47" customFormat="false" ht="23.85" hidden="false" customHeight="false" outlineLevel="0" collapsed="false">
      <c r="A47" s="1"/>
      <c r="B47" s="106" t="s">
        <v>180</v>
      </c>
      <c r="C47" s="107" t="s">
        <v>181</v>
      </c>
      <c r="D47" s="108" t="s">
        <v>182</v>
      </c>
      <c r="E47" s="107" t="s">
        <v>183</v>
      </c>
      <c r="F47" s="1"/>
    </row>
    <row r="48" customFormat="false" ht="15" hidden="false" customHeight="false" outlineLevel="0" collapsed="false">
      <c r="A48" s="1"/>
      <c r="B48" s="1"/>
      <c r="C48" s="1"/>
      <c r="D48" s="1"/>
      <c r="E48" s="1"/>
      <c r="F48" s="1"/>
    </row>
    <row r="49" customFormat="false" ht="15" hidden="false" customHeight="true" outlineLevel="0" collapsed="false">
      <c r="A49" s="1"/>
      <c r="B49" s="103" t="s">
        <v>54</v>
      </c>
      <c r="C49" s="103"/>
      <c r="D49" s="103"/>
      <c r="E49" s="103"/>
      <c r="F49" s="1"/>
    </row>
    <row r="50" customFormat="false" ht="15" hidden="false" customHeight="false" outlineLevel="0" collapsed="false">
      <c r="A50" s="1"/>
      <c r="B50" s="106" t="s">
        <v>184</v>
      </c>
      <c r="C50" s="107" t="s">
        <v>185</v>
      </c>
      <c r="D50" s="108" t="s">
        <v>186</v>
      </c>
      <c r="E50" s="107" t="s">
        <v>187</v>
      </c>
      <c r="F50" s="1"/>
    </row>
    <row r="51" customFormat="false" ht="15" hidden="false" customHeight="false" outlineLevel="0" collapsed="false">
      <c r="A51" s="1"/>
      <c r="B51" s="106" t="s">
        <v>188</v>
      </c>
      <c r="C51" s="107" t="s">
        <v>189</v>
      </c>
      <c r="D51" s="108" t="s">
        <v>190</v>
      </c>
      <c r="E51" s="107" t="s">
        <v>187</v>
      </c>
      <c r="F51" s="1"/>
    </row>
    <row r="52" customFormat="false" ht="15" hidden="false" customHeight="false" outlineLevel="0" collapsed="false">
      <c r="A52" s="1"/>
      <c r="B52" s="106" t="s">
        <v>191</v>
      </c>
      <c r="C52" s="107" t="s">
        <v>192</v>
      </c>
      <c r="D52" s="108" t="s">
        <v>193</v>
      </c>
      <c r="E52" s="107" t="s">
        <v>187</v>
      </c>
      <c r="F52" s="1"/>
    </row>
    <row r="53" customFormat="false" ht="15" hidden="false" customHeight="false" outlineLevel="0" collapsed="false">
      <c r="A53" s="1"/>
      <c r="B53" s="1"/>
      <c r="C53" s="1"/>
      <c r="D53" s="1"/>
      <c r="E53" s="1"/>
      <c r="F53" s="1"/>
    </row>
    <row r="54" customFormat="false" ht="15" hidden="false" customHeight="true" outlineLevel="0" collapsed="false">
      <c r="A54" s="1"/>
      <c r="B54" s="103" t="s">
        <v>28</v>
      </c>
      <c r="C54" s="103"/>
      <c r="D54" s="103"/>
      <c r="E54" s="103"/>
      <c r="F54" s="1"/>
    </row>
    <row r="55" customFormat="false" ht="15" hidden="false" customHeight="false" outlineLevel="0" collapsed="false">
      <c r="A55" s="1"/>
      <c r="B55" s="106" t="s">
        <v>67</v>
      </c>
      <c r="C55" s="107" t="s">
        <v>194</v>
      </c>
      <c r="D55" s="108" t="s">
        <v>195</v>
      </c>
      <c r="E55" s="107" t="s">
        <v>196</v>
      </c>
      <c r="F55" s="1"/>
    </row>
    <row r="56" customFormat="false" ht="15" hidden="false" customHeight="false" outlineLevel="0" collapsed="false">
      <c r="A56" s="1"/>
      <c r="B56" s="1"/>
      <c r="C56" s="1"/>
      <c r="D56" s="1"/>
      <c r="E56" s="1"/>
      <c r="F56" s="1"/>
    </row>
    <row r="57" customFormat="false" ht="15" hidden="false" customHeight="true" outlineLevel="0" collapsed="false">
      <c r="A57" s="1"/>
      <c r="B57" s="101" t="s">
        <v>197</v>
      </c>
      <c r="C57" s="101"/>
      <c r="D57" s="101"/>
      <c r="E57" s="101"/>
      <c r="F57" s="1"/>
    </row>
    <row r="58" customFormat="false" ht="15" hidden="false" customHeight="false" outlineLevel="0" collapsed="false">
      <c r="A58" s="1"/>
      <c r="B58" s="1"/>
      <c r="C58" s="1"/>
      <c r="D58" s="1"/>
      <c r="E58" s="1"/>
      <c r="F58" s="1"/>
    </row>
    <row r="59" customFormat="false" ht="15" hidden="false" customHeight="true" outlineLevel="0" collapsed="false">
      <c r="A59" s="1"/>
      <c r="B59" s="103" t="s">
        <v>56</v>
      </c>
      <c r="C59" s="103"/>
      <c r="D59" s="103"/>
      <c r="E59" s="103"/>
      <c r="F59" s="1"/>
    </row>
    <row r="60" customFormat="false" ht="15" hidden="false" customHeight="false" outlineLevel="0" collapsed="false">
      <c r="A60" s="1"/>
      <c r="B60" s="106" t="s">
        <v>198</v>
      </c>
      <c r="C60" s="107" t="s">
        <v>40</v>
      </c>
      <c r="D60" s="108" t="s">
        <v>199</v>
      </c>
      <c r="E60" s="107" t="s">
        <v>41</v>
      </c>
      <c r="F60" s="1"/>
    </row>
    <row r="61" customFormat="false" ht="15" hidden="false" customHeight="false" outlineLevel="0" collapsed="false">
      <c r="A61" s="1"/>
      <c r="B61" s="106" t="s">
        <v>200</v>
      </c>
      <c r="C61" s="107" t="s">
        <v>42</v>
      </c>
      <c r="D61" s="108" t="s">
        <v>201</v>
      </c>
      <c r="E61" s="107" t="s">
        <v>43</v>
      </c>
      <c r="F61" s="1"/>
    </row>
    <row r="62" customFormat="false" ht="15" hidden="false" customHeight="false" outlineLevel="0" collapsed="false">
      <c r="A62" s="1"/>
      <c r="B62" s="106" t="s">
        <v>44</v>
      </c>
      <c r="C62" s="107" t="s">
        <v>159</v>
      </c>
      <c r="D62" s="108" t="s">
        <v>202</v>
      </c>
      <c r="E62" s="107" t="s">
        <v>45</v>
      </c>
      <c r="F62" s="1"/>
    </row>
    <row r="63" customFormat="false" ht="15" hidden="false" customHeight="false" outlineLevel="0" collapsed="false">
      <c r="A63" s="1"/>
      <c r="B63" s="1"/>
      <c r="C63" s="1"/>
      <c r="D63" s="1"/>
      <c r="E63" s="1"/>
      <c r="F63" s="1"/>
    </row>
    <row r="64" customFormat="false" ht="15" hidden="false" customHeight="true" outlineLevel="0" collapsed="false">
      <c r="A64" s="1"/>
      <c r="B64" s="103" t="s">
        <v>57</v>
      </c>
      <c r="C64" s="103"/>
      <c r="D64" s="103"/>
      <c r="E64" s="103"/>
      <c r="F64" s="1"/>
    </row>
    <row r="65" customFormat="false" ht="15" hidden="false" customHeight="false" outlineLevel="0" collapsed="false">
      <c r="A65" s="1"/>
      <c r="B65" s="106" t="s">
        <v>203</v>
      </c>
      <c r="C65" s="107" t="s">
        <v>204</v>
      </c>
      <c r="D65" s="108" t="s">
        <v>205</v>
      </c>
      <c r="E65" s="107" t="s">
        <v>47</v>
      </c>
      <c r="F65" s="1"/>
    </row>
    <row r="66" customFormat="false" ht="15" hidden="false" customHeight="false" outlineLevel="0" collapsed="false">
      <c r="A66" s="1"/>
      <c r="B66" s="106" t="s">
        <v>48</v>
      </c>
      <c r="C66" s="107" t="s">
        <v>159</v>
      </c>
      <c r="D66" s="108" t="s">
        <v>206</v>
      </c>
      <c r="E66" s="107" t="s">
        <v>49</v>
      </c>
      <c r="F66" s="1"/>
    </row>
    <row r="67" customFormat="false" ht="15" hidden="false" customHeight="false" outlineLevel="0" collapsed="false">
      <c r="A67" s="1"/>
      <c r="B67" s="1"/>
      <c r="C67" s="1"/>
      <c r="D67" s="1"/>
      <c r="E67" s="1"/>
      <c r="F67" s="1"/>
    </row>
    <row r="68" customFormat="false" ht="15" hidden="false" customHeight="true" outlineLevel="0" collapsed="false">
      <c r="A68" s="1"/>
      <c r="B68" s="103" t="s">
        <v>50</v>
      </c>
      <c r="C68" s="103"/>
      <c r="D68" s="103"/>
      <c r="E68" s="103"/>
      <c r="F68" s="1"/>
    </row>
    <row r="69" customFormat="false" ht="15" hidden="false" customHeight="false" outlineLevel="0" collapsed="false">
      <c r="A69" s="1"/>
      <c r="B69" s="106" t="s">
        <v>25</v>
      </c>
      <c r="C69" s="107" t="s">
        <v>159</v>
      </c>
      <c r="D69" s="108" t="s">
        <v>207</v>
      </c>
      <c r="E69" s="107" t="s">
        <v>51</v>
      </c>
      <c r="F69" s="1"/>
    </row>
    <row r="70" customFormat="false" ht="15" hidden="false" customHeight="false" outlineLevel="0" collapsed="false">
      <c r="A70" s="1"/>
      <c r="B70" s="106" t="s">
        <v>208</v>
      </c>
      <c r="C70" s="107" t="s">
        <v>159</v>
      </c>
      <c r="D70" s="108" t="s">
        <v>209</v>
      </c>
      <c r="E70" s="107" t="s">
        <v>210</v>
      </c>
      <c r="F70" s="1"/>
    </row>
    <row r="71" customFormat="false" ht="15" hidden="false" customHeight="false" outlineLevel="0" collapsed="false">
      <c r="A71" s="1"/>
      <c r="B71" s="106" t="s">
        <v>71</v>
      </c>
      <c r="C71" s="107" t="s">
        <v>159</v>
      </c>
      <c r="D71" s="108" t="s">
        <v>211</v>
      </c>
      <c r="E71" s="107" t="s">
        <v>212</v>
      </c>
      <c r="F71" s="1"/>
    </row>
    <row r="72" customFormat="false" ht="15" hidden="false" customHeight="false" outlineLevel="0" collapsed="false">
      <c r="A72" s="1"/>
      <c r="B72" s="106" t="s">
        <v>213</v>
      </c>
      <c r="C72" s="107" t="s">
        <v>159</v>
      </c>
      <c r="D72" s="108" t="s">
        <v>214</v>
      </c>
      <c r="E72" s="107" t="s">
        <v>215</v>
      </c>
      <c r="F72" s="1"/>
    </row>
    <row r="73" customFormat="false" ht="15" hidden="false" customHeight="false" outlineLevel="0" collapsed="false">
      <c r="A73" s="1"/>
      <c r="B73" s="1"/>
      <c r="C73" s="1"/>
      <c r="D73" s="1"/>
      <c r="E73" s="1"/>
      <c r="F73" s="1"/>
    </row>
    <row r="74" customFormat="false" ht="15" hidden="false" customHeight="true" outlineLevel="0" collapsed="false">
      <c r="A74" s="1"/>
      <c r="B74" s="101" t="s">
        <v>216</v>
      </c>
      <c r="C74" s="101"/>
      <c r="D74" s="101"/>
      <c r="E74" s="101"/>
      <c r="F74" s="1"/>
    </row>
    <row r="75" customFormat="false" ht="15" hidden="false" customHeight="false" outlineLevel="0" collapsed="false">
      <c r="A75" s="1"/>
      <c r="B75" s="1"/>
      <c r="C75" s="1"/>
      <c r="D75" s="1"/>
      <c r="E75" s="1"/>
      <c r="F75" s="1"/>
    </row>
    <row r="76" customFormat="false" ht="15" hidden="false" customHeight="false" outlineLevel="0" collapsed="false">
      <c r="A76" s="1"/>
      <c r="B76" s="106" t="s">
        <v>32</v>
      </c>
      <c r="C76" s="107" t="s">
        <v>159</v>
      </c>
      <c r="D76" s="108" t="s">
        <v>217</v>
      </c>
      <c r="E76" s="107" t="s">
        <v>218</v>
      </c>
      <c r="F76" s="1"/>
    </row>
    <row r="77" customFormat="false" ht="15" hidden="false" customHeight="false" outlineLevel="0" collapsed="false">
      <c r="A77" s="1"/>
      <c r="B77" s="106" t="s">
        <v>33</v>
      </c>
      <c r="C77" s="107" t="s">
        <v>159</v>
      </c>
      <c r="D77" s="108" t="s">
        <v>219</v>
      </c>
      <c r="E77" s="107" t="s">
        <v>220</v>
      </c>
      <c r="F77" s="1"/>
    </row>
    <row r="78" customFormat="false" ht="15" hidden="false" customHeight="false" outlineLevel="0" collapsed="false">
      <c r="A78" s="1"/>
      <c r="B78" s="106" t="s">
        <v>34</v>
      </c>
      <c r="C78" s="107" t="s">
        <v>159</v>
      </c>
      <c r="D78" s="108" t="s">
        <v>221</v>
      </c>
      <c r="E78" s="107" t="s">
        <v>222</v>
      </c>
      <c r="F78" s="1"/>
    </row>
    <row r="79" customFormat="false" ht="15" hidden="false" customHeight="false" outlineLevel="0" collapsed="false">
      <c r="A79" s="1"/>
      <c r="B79" s="106" t="s">
        <v>75</v>
      </c>
      <c r="C79" s="107" t="s">
        <v>159</v>
      </c>
      <c r="D79" s="108" t="s">
        <v>223</v>
      </c>
      <c r="E79" s="107" t="s">
        <v>224</v>
      </c>
      <c r="F79" s="1"/>
    </row>
    <row r="80" customFormat="false" ht="15" hidden="false" customHeight="false" outlineLevel="0" collapsed="false">
      <c r="A80" s="1"/>
      <c r="B80" s="106" t="s">
        <v>37</v>
      </c>
      <c r="C80" s="107" t="s">
        <v>159</v>
      </c>
      <c r="D80" s="108" t="s">
        <v>225</v>
      </c>
      <c r="E80" s="107" t="s">
        <v>226</v>
      </c>
      <c r="F80" s="1"/>
    </row>
    <row r="81" customFormat="false" ht="15" hidden="false" customHeight="false" outlineLevel="0" collapsed="false">
      <c r="A81" s="1"/>
      <c r="B81" s="106" t="s">
        <v>38</v>
      </c>
      <c r="C81" s="107" t="s">
        <v>159</v>
      </c>
      <c r="D81" s="108" t="s">
        <v>227</v>
      </c>
      <c r="E81" s="107" t="s">
        <v>228</v>
      </c>
      <c r="F81" s="1"/>
    </row>
    <row r="82" customFormat="false" ht="15" hidden="false" customHeight="false" outlineLevel="0" collapsed="false">
      <c r="A82" s="1"/>
      <c r="B82" s="1"/>
      <c r="C82" s="1"/>
      <c r="D82" s="1"/>
      <c r="E82" s="1"/>
      <c r="F82" s="1"/>
    </row>
    <row r="83" customFormat="false" ht="15" hidden="false" customHeight="true" outlineLevel="0" collapsed="false">
      <c r="A83" s="1"/>
      <c r="B83" s="101" t="s">
        <v>229</v>
      </c>
      <c r="C83" s="101"/>
      <c r="D83" s="101"/>
      <c r="E83" s="101"/>
      <c r="F83" s="1"/>
    </row>
    <row r="84" customFormat="false" ht="15" hidden="false" customHeight="false" outlineLevel="0" collapsed="false">
      <c r="A84" s="1"/>
      <c r="B84" s="1"/>
      <c r="C84" s="1"/>
      <c r="D84" s="1"/>
      <c r="E84" s="1"/>
      <c r="F84" s="1"/>
    </row>
    <row r="85" customFormat="false" ht="15" hidden="false" customHeight="true" outlineLevel="0" collapsed="false">
      <c r="A85" s="1"/>
      <c r="B85" s="105" t="s">
        <v>230</v>
      </c>
      <c r="C85" s="105"/>
      <c r="D85" s="105"/>
      <c r="E85" s="105"/>
      <c r="F85" s="1"/>
    </row>
    <row r="86" customFormat="false" ht="15" hidden="false" customHeight="true" outlineLevel="0" collapsed="false">
      <c r="A86" s="1"/>
      <c r="B86" s="102" t="s">
        <v>231</v>
      </c>
      <c r="C86" s="102"/>
      <c r="D86" s="102"/>
      <c r="E86" s="102"/>
      <c r="F86" s="1"/>
    </row>
    <row r="87" customFormat="false" ht="15" hidden="false" customHeight="true" outlineLevel="0" collapsed="false">
      <c r="A87" s="1"/>
      <c r="B87" s="102" t="s">
        <v>232</v>
      </c>
      <c r="C87" s="102"/>
      <c r="D87" s="102"/>
      <c r="E87" s="102"/>
      <c r="F87" s="1"/>
    </row>
    <row r="88" customFormat="false" ht="15" hidden="false" customHeight="true" outlineLevel="0" collapsed="false">
      <c r="A88" s="1"/>
      <c r="B88" s="102" t="s">
        <v>233</v>
      </c>
      <c r="C88" s="102"/>
      <c r="D88" s="102"/>
      <c r="E88" s="102"/>
      <c r="F88" s="1"/>
    </row>
    <row r="89" customFormat="false" ht="15" hidden="false" customHeight="true" outlineLevel="0" collapsed="false">
      <c r="A89" s="1"/>
      <c r="B89" s="102" t="s">
        <v>234</v>
      </c>
      <c r="C89" s="102"/>
      <c r="D89" s="102"/>
      <c r="E89" s="102"/>
      <c r="F89" s="1"/>
    </row>
    <row r="90" customFormat="false" ht="15" hidden="false" customHeight="true" outlineLevel="0" collapsed="false">
      <c r="A90" s="1"/>
      <c r="B90" s="102" t="s">
        <v>235</v>
      </c>
      <c r="C90" s="102"/>
      <c r="D90" s="102"/>
      <c r="E90" s="102"/>
      <c r="F90" s="1"/>
    </row>
    <row r="91" customFormat="false" ht="15" hidden="false" customHeight="true" outlineLevel="0" collapsed="false">
      <c r="A91" s="1"/>
      <c r="B91" s="102" t="s">
        <v>236</v>
      </c>
      <c r="C91" s="102"/>
      <c r="D91" s="102"/>
      <c r="E91" s="102"/>
      <c r="F91" s="1"/>
    </row>
    <row r="92" customFormat="false" ht="15" hidden="false" customHeight="false" outlineLevel="0" collapsed="false">
      <c r="A92" s="1"/>
      <c r="B92" s="1"/>
      <c r="C92" s="1"/>
      <c r="D92" s="1"/>
      <c r="E92" s="1"/>
      <c r="F92" s="1"/>
    </row>
    <row r="93" customFormat="false" ht="15" hidden="false" customHeight="true" outlineLevel="0" collapsed="false">
      <c r="A93" s="1"/>
      <c r="B93" s="105" t="s">
        <v>237</v>
      </c>
      <c r="C93" s="105"/>
      <c r="D93" s="105"/>
      <c r="E93" s="105"/>
      <c r="F93" s="1"/>
    </row>
    <row r="94" customFormat="false" ht="15" hidden="false" customHeight="true" outlineLevel="0" collapsed="false">
      <c r="A94" s="1"/>
      <c r="B94" s="102" t="s">
        <v>238</v>
      </c>
      <c r="C94" s="102"/>
      <c r="D94" s="102"/>
      <c r="E94" s="102"/>
      <c r="F94" s="1"/>
    </row>
    <row r="95" customFormat="false" ht="15" hidden="false" customHeight="true" outlineLevel="0" collapsed="false">
      <c r="A95" s="1"/>
      <c r="B95" s="102" t="s">
        <v>239</v>
      </c>
      <c r="C95" s="102"/>
      <c r="D95" s="102"/>
      <c r="E95" s="102"/>
      <c r="F95" s="1"/>
    </row>
    <row r="96" customFormat="false" ht="15" hidden="false" customHeight="true" outlineLevel="0" collapsed="false">
      <c r="A96" s="1"/>
      <c r="B96" s="102" t="s">
        <v>240</v>
      </c>
      <c r="C96" s="102"/>
      <c r="D96" s="102"/>
      <c r="E96" s="102"/>
      <c r="F96" s="1"/>
    </row>
    <row r="97" customFormat="false" ht="15" hidden="false" customHeight="true" outlineLevel="0" collapsed="false">
      <c r="A97" s="1"/>
      <c r="B97" s="102" t="s">
        <v>241</v>
      </c>
      <c r="C97" s="102"/>
      <c r="D97" s="102"/>
      <c r="E97" s="102"/>
      <c r="F97" s="1"/>
    </row>
    <row r="98" customFormat="false" ht="15" hidden="false" customHeight="true" outlineLevel="0" collapsed="false">
      <c r="A98" s="1"/>
      <c r="B98" s="102" t="s">
        <v>242</v>
      </c>
      <c r="C98" s="102"/>
      <c r="D98" s="102"/>
      <c r="E98" s="102"/>
      <c r="F98" s="1"/>
    </row>
    <row r="99" customFormat="false" ht="15" hidden="false" customHeight="false" outlineLevel="0" collapsed="false">
      <c r="A99" s="1"/>
      <c r="B99" s="1"/>
      <c r="C99" s="1"/>
      <c r="D99" s="1"/>
      <c r="E99" s="1"/>
      <c r="F99" s="1"/>
    </row>
    <row r="100" customFormat="false" ht="15" hidden="false" customHeight="true" outlineLevel="0" collapsed="false">
      <c r="A100" s="1"/>
      <c r="B100" s="101" t="s">
        <v>243</v>
      </c>
      <c r="C100" s="101"/>
      <c r="D100" s="101"/>
      <c r="E100" s="101"/>
      <c r="F100" s="1"/>
    </row>
    <row r="101" customFormat="false" ht="15" hidden="false" customHeight="false" outlineLevel="0" collapsed="false">
      <c r="A101" s="1"/>
      <c r="B101" s="1"/>
      <c r="C101" s="1"/>
      <c r="D101" s="1"/>
      <c r="E101" s="1"/>
      <c r="F101" s="1"/>
    </row>
    <row r="102" customFormat="false" ht="15" hidden="false" customHeight="true" outlineLevel="0" collapsed="false">
      <c r="A102" s="1"/>
      <c r="B102" s="105" t="s">
        <v>244</v>
      </c>
      <c r="C102" s="105"/>
      <c r="D102" s="105"/>
      <c r="E102" s="105"/>
      <c r="F102" s="1"/>
    </row>
    <row r="103" customFormat="false" ht="15" hidden="false" customHeight="true" outlineLevel="0" collapsed="false">
      <c r="A103" s="1"/>
      <c r="B103" s="102" t="s">
        <v>245</v>
      </c>
      <c r="C103" s="102"/>
      <c r="D103" s="102"/>
      <c r="E103" s="102"/>
      <c r="F103" s="1"/>
    </row>
    <row r="104" customFormat="false" ht="15" hidden="false" customHeight="true" outlineLevel="0" collapsed="false">
      <c r="A104" s="1"/>
      <c r="B104" s="102" t="s">
        <v>246</v>
      </c>
      <c r="C104" s="102"/>
      <c r="D104" s="102"/>
      <c r="E104" s="102"/>
      <c r="F104" s="1"/>
    </row>
    <row r="105" customFormat="false" ht="15" hidden="false" customHeight="true" outlineLevel="0" collapsed="false">
      <c r="A105" s="1"/>
      <c r="B105" s="102" t="s">
        <v>247</v>
      </c>
      <c r="C105" s="102"/>
      <c r="D105" s="102"/>
      <c r="E105" s="102"/>
      <c r="F105" s="1"/>
    </row>
    <row r="106" customFormat="false" ht="15" hidden="false" customHeight="true" outlineLevel="0" collapsed="false">
      <c r="A106" s="1"/>
      <c r="B106" s="102" t="s">
        <v>248</v>
      </c>
      <c r="C106" s="102"/>
      <c r="D106" s="102"/>
      <c r="E106" s="102"/>
      <c r="F106" s="1"/>
    </row>
    <row r="107" customFormat="false" ht="15" hidden="false" customHeight="true" outlineLevel="0" collapsed="false">
      <c r="A107" s="1"/>
      <c r="B107" s="102" t="s">
        <v>249</v>
      </c>
      <c r="C107" s="102"/>
      <c r="D107" s="102"/>
      <c r="E107" s="102"/>
      <c r="F107" s="1"/>
    </row>
    <row r="108" customFormat="false" ht="15" hidden="false" customHeight="true" outlineLevel="0" collapsed="false">
      <c r="A108" s="1"/>
      <c r="B108" s="102" t="s">
        <v>250</v>
      </c>
      <c r="C108" s="102"/>
      <c r="D108" s="102"/>
      <c r="E108" s="102"/>
      <c r="F108" s="1"/>
    </row>
    <row r="109" customFormat="false" ht="15" hidden="false" customHeight="true" outlineLevel="0" collapsed="false">
      <c r="A109" s="1"/>
      <c r="B109" s="102" t="s">
        <v>251</v>
      </c>
      <c r="C109" s="102"/>
      <c r="D109" s="102"/>
      <c r="E109" s="102"/>
      <c r="F109" s="1"/>
    </row>
    <row r="110" customFormat="false" ht="15" hidden="false" customHeight="false" outlineLevel="0" collapsed="false">
      <c r="A110" s="1"/>
      <c r="B110" s="1"/>
      <c r="C110" s="1"/>
      <c r="D110" s="1"/>
      <c r="E110" s="1"/>
      <c r="F110" s="1"/>
    </row>
    <row r="111" customFormat="false" ht="15" hidden="false" customHeight="true" outlineLevel="0" collapsed="false">
      <c r="A111" s="1"/>
      <c r="B111" s="105" t="s">
        <v>252</v>
      </c>
      <c r="C111" s="105"/>
      <c r="D111" s="105"/>
      <c r="E111" s="105"/>
      <c r="F111" s="1"/>
    </row>
    <row r="112" customFormat="false" ht="15" hidden="false" customHeight="true" outlineLevel="0" collapsed="false">
      <c r="A112" s="1"/>
      <c r="B112" s="102" t="s">
        <v>253</v>
      </c>
      <c r="C112" s="102"/>
      <c r="D112" s="102"/>
      <c r="E112" s="102"/>
      <c r="F112" s="1"/>
    </row>
    <row r="113" customFormat="false" ht="15" hidden="false" customHeight="true" outlineLevel="0" collapsed="false">
      <c r="A113" s="1"/>
      <c r="B113" s="102" t="s">
        <v>254</v>
      </c>
      <c r="C113" s="102"/>
      <c r="D113" s="102"/>
      <c r="E113" s="102"/>
      <c r="F113" s="1"/>
    </row>
    <row r="114" customFormat="false" ht="15" hidden="false" customHeight="true" outlineLevel="0" collapsed="false">
      <c r="A114" s="1"/>
      <c r="B114" s="102" t="s">
        <v>255</v>
      </c>
      <c r="C114" s="102"/>
      <c r="D114" s="102"/>
      <c r="E114" s="102"/>
      <c r="F114" s="1"/>
    </row>
    <row r="115" customFormat="false" ht="15" hidden="false" customHeight="true" outlineLevel="0" collapsed="false">
      <c r="A115" s="1"/>
      <c r="B115" s="102" t="s">
        <v>256</v>
      </c>
      <c r="C115" s="102"/>
      <c r="D115" s="102"/>
      <c r="E115" s="102"/>
      <c r="F115" s="1"/>
    </row>
    <row r="116" customFormat="false" ht="15" hidden="false" customHeight="false" outlineLevel="0" collapsed="false">
      <c r="A116" s="1"/>
      <c r="B116" s="1"/>
      <c r="C116" s="1"/>
      <c r="D116" s="1"/>
      <c r="E116" s="1"/>
      <c r="F116" s="1"/>
    </row>
    <row r="117" customFormat="false" ht="15" hidden="false" customHeight="true" outlineLevel="0" collapsed="false">
      <c r="A117" s="1"/>
      <c r="B117" s="101" t="s">
        <v>257</v>
      </c>
      <c r="C117" s="101"/>
      <c r="D117" s="101"/>
      <c r="E117" s="101"/>
      <c r="F117" s="1"/>
    </row>
    <row r="118" customFormat="false" ht="15" hidden="false" customHeight="false" outlineLevel="0" collapsed="false">
      <c r="A118" s="1"/>
      <c r="B118" s="1"/>
      <c r="C118" s="1"/>
      <c r="D118" s="1"/>
      <c r="E118" s="1"/>
      <c r="F118" s="1"/>
    </row>
    <row r="119" customFormat="false" ht="15" hidden="false" customHeight="true" outlineLevel="0" collapsed="false">
      <c r="A119" s="1"/>
      <c r="B119" s="105" t="s">
        <v>258</v>
      </c>
      <c r="C119" s="105"/>
      <c r="D119" s="105"/>
      <c r="E119" s="105"/>
      <c r="F119" s="1"/>
    </row>
    <row r="120" customFormat="false" ht="15" hidden="false" customHeight="true" outlineLevel="0" collapsed="false">
      <c r="A120" s="1"/>
      <c r="B120" s="102" t="s">
        <v>259</v>
      </c>
      <c r="C120" s="102"/>
      <c r="D120" s="102"/>
      <c r="E120" s="102"/>
      <c r="F120" s="1"/>
    </row>
    <row r="121" customFormat="false" ht="15" hidden="false" customHeight="true" outlineLevel="0" collapsed="false">
      <c r="A121" s="1"/>
      <c r="B121" s="102" t="s">
        <v>260</v>
      </c>
      <c r="C121" s="102"/>
      <c r="D121" s="102"/>
      <c r="E121" s="102"/>
      <c r="F121" s="1"/>
    </row>
    <row r="122" customFormat="false" ht="15" hidden="false" customHeight="true" outlineLevel="0" collapsed="false">
      <c r="A122" s="1"/>
      <c r="B122" s="102" t="s">
        <v>261</v>
      </c>
      <c r="C122" s="102"/>
      <c r="D122" s="102"/>
      <c r="E122" s="102"/>
      <c r="F122" s="1"/>
    </row>
    <row r="123" customFormat="false" ht="15" hidden="false" customHeight="false" outlineLevel="0" collapsed="false">
      <c r="A123" s="1"/>
      <c r="B123" s="1"/>
      <c r="C123" s="1"/>
      <c r="D123" s="1"/>
      <c r="E123" s="1"/>
      <c r="F123" s="1"/>
    </row>
    <row r="124" customFormat="false" ht="15" hidden="false" customHeight="true" outlineLevel="0" collapsed="false">
      <c r="A124" s="1"/>
      <c r="B124" s="105" t="s">
        <v>262</v>
      </c>
      <c r="C124" s="105"/>
      <c r="D124" s="105"/>
      <c r="E124" s="105"/>
      <c r="F124" s="1"/>
    </row>
    <row r="125" customFormat="false" ht="15" hidden="false" customHeight="true" outlineLevel="0" collapsed="false">
      <c r="A125" s="1"/>
      <c r="B125" s="102" t="s">
        <v>263</v>
      </c>
      <c r="C125" s="102"/>
      <c r="D125" s="102"/>
      <c r="E125" s="102"/>
      <c r="F125" s="1"/>
    </row>
    <row r="126" customFormat="false" ht="15" hidden="false" customHeight="true" outlineLevel="0" collapsed="false">
      <c r="A126" s="1"/>
      <c r="B126" s="102" t="s">
        <v>264</v>
      </c>
      <c r="C126" s="102"/>
      <c r="D126" s="102"/>
      <c r="E126" s="102"/>
      <c r="F126" s="1"/>
    </row>
    <row r="127" customFormat="false" ht="15" hidden="false" customHeight="true" outlineLevel="0" collapsed="false">
      <c r="A127" s="1"/>
      <c r="B127" s="102" t="s">
        <v>265</v>
      </c>
      <c r="C127" s="102"/>
      <c r="D127" s="102"/>
      <c r="E127" s="102"/>
      <c r="F127" s="1"/>
    </row>
    <row r="128" customFormat="false" ht="15" hidden="false" customHeight="false" outlineLevel="0" collapsed="false">
      <c r="A128" s="1"/>
      <c r="B128" s="1"/>
      <c r="C128" s="1"/>
      <c r="D128" s="1"/>
      <c r="E128" s="1"/>
      <c r="F128" s="1"/>
    </row>
    <row r="129" customFormat="false" ht="15" hidden="false" customHeight="true" outlineLevel="0" collapsed="false">
      <c r="A129" s="1"/>
      <c r="B129" s="105" t="s">
        <v>266</v>
      </c>
      <c r="C129" s="105"/>
      <c r="D129" s="105"/>
      <c r="E129" s="105"/>
      <c r="F129" s="1"/>
    </row>
    <row r="130" customFormat="false" ht="15" hidden="false" customHeight="true" outlineLevel="0" collapsed="false">
      <c r="A130" s="1"/>
      <c r="B130" s="102" t="s">
        <v>267</v>
      </c>
      <c r="C130" s="102"/>
      <c r="D130" s="102"/>
      <c r="E130" s="102"/>
      <c r="F130" s="1"/>
    </row>
    <row r="131" customFormat="false" ht="15" hidden="false" customHeight="true" outlineLevel="0" collapsed="false">
      <c r="A131" s="1"/>
      <c r="B131" s="102" t="s">
        <v>268</v>
      </c>
      <c r="C131" s="102"/>
      <c r="D131" s="102"/>
      <c r="E131" s="102"/>
      <c r="F131" s="1"/>
    </row>
    <row r="132" customFormat="false" ht="15" hidden="false" customHeight="false" outlineLevel="0" collapsed="false">
      <c r="A132" s="1"/>
      <c r="B132" s="1"/>
      <c r="C132" s="1"/>
      <c r="D132" s="1"/>
      <c r="E132" s="1"/>
      <c r="F132" s="1"/>
    </row>
    <row r="133" customFormat="false" ht="15" hidden="false" customHeight="true" outlineLevel="0" collapsed="false">
      <c r="A133" s="1"/>
      <c r="B133" s="101" t="s">
        <v>269</v>
      </c>
      <c r="C133" s="101"/>
      <c r="D133" s="101"/>
      <c r="E133" s="101"/>
      <c r="F133" s="1"/>
    </row>
    <row r="134" customFormat="false" ht="15" hidden="false" customHeight="false" outlineLevel="0" collapsed="false">
      <c r="A134" s="1"/>
      <c r="B134" s="1"/>
      <c r="C134" s="1"/>
      <c r="D134" s="1"/>
      <c r="E134" s="1"/>
      <c r="F134" s="1"/>
    </row>
    <row r="135" customFormat="false" ht="15" hidden="false" customHeight="true" outlineLevel="0" collapsed="false">
      <c r="A135" s="1"/>
      <c r="B135" s="102" t="s">
        <v>270</v>
      </c>
      <c r="C135" s="102"/>
      <c r="D135" s="102"/>
      <c r="E135" s="102"/>
      <c r="F135" s="1"/>
    </row>
    <row r="136" customFormat="false" ht="15" hidden="false" customHeight="true" outlineLevel="0" collapsed="false">
      <c r="A136" s="1"/>
      <c r="B136" s="102" t="s">
        <v>271</v>
      </c>
      <c r="C136" s="102"/>
      <c r="D136" s="102"/>
      <c r="E136" s="102"/>
      <c r="F136" s="1"/>
    </row>
    <row r="137" customFormat="false" ht="15" hidden="false" customHeight="true" outlineLevel="0" collapsed="false">
      <c r="A137" s="1"/>
      <c r="B137" s="102" t="s">
        <v>272</v>
      </c>
      <c r="C137" s="102"/>
      <c r="D137" s="102"/>
      <c r="E137" s="102"/>
      <c r="F137" s="1"/>
    </row>
    <row r="138" customFormat="false" ht="15" hidden="false" customHeight="true" outlineLevel="0" collapsed="false">
      <c r="A138" s="1"/>
      <c r="B138" s="102" t="s">
        <v>273</v>
      </c>
      <c r="C138" s="102"/>
      <c r="D138" s="102"/>
      <c r="E138" s="102"/>
      <c r="F138" s="1"/>
    </row>
    <row r="139" customFormat="false" ht="15" hidden="false" customHeight="true" outlineLevel="0" collapsed="false">
      <c r="A139" s="1"/>
      <c r="B139" s="102" t="s">
        <v>274</v>
      </c>
      <c r="C139" s="102"/>
      <c r="D139" s="102"/>
      <c r="E139" s="102"/>
      <c r="F139" s="1"/>
    </row>
    <row r="140" customFormat="false" ht="15" hidden="false" customHeight="true" outlineLevel="0" collapsed="false">
      <c r="A140" s="1"/>
      <c r="B140" s="102" t="s">
        <v>275</v>
      </c>
      <c r="C140" s="102"/>
      <c r="D140" s="102"/>
      <c r="E140" s="102"/>
      <c r="F140" s="1"/>
    </row>
    <row r="141" customFormat="false" ht="15" hidden="false" customHeight="false" outlineLevel="0" collapsed="false">
      <c r="A141" s="1"/>
      <c r="B141" s="1"/>
      <c r="C141" s="1"/>
      <c r="D141" s="1"/>
      <c r="E141" s="1"/>
      <c r="F141" s="1"/>
    </row>
    <row r="142" customFormat="false" ht="15" hidden="false" customHeight="true" outlineLevel="0" collapsed="false">
      <c r="A142" s="1"/>
      <c r="B142" s="101" t="s">
        <v>276</v>
      </c>
      <c r="C142" s="101"/>
      <c r="D142" s="101"/>
      <c r="E142" s="101"/>
      <c r="F142" s="1"/>
    </row>
    <row r="143" customFormat="false" ht="15" hidden="false" customHeight="true" outlineLevel="0" collapsed="false">
      <c r="A143" s="1"/>
      <c r="B143" s="102" t="s">
        <v>277</v>
      </c>
      <c r="C143" s="102"/>
      <c r="D143" s="102"/>
      <c r="E143" s="102"/>
      <c r="F143" s="1"/>
    </row>
    <row r="144" customFormat="false" ht="15" hidden="false" customHeight="true" outlineLevel="0" collapsed="false">
      <c r="A144" s="1"/>
      <c r="B144" s="102" t="s">
        <v>278</v>
      </c>
      <c r="C144" s="102"/>
      <c r="D144" s="102"/>
      <c r="E144" s="102"/>
      <c r="F144" s="1"/>
    </row>
    <row r="145" customFormat="false" ht="15" hidden="false" customHeight="false" outlineLevel="0" collapsed="false">
      <c r="A145" s="1"/>
      <c r="B145" s="1"/>
      <c r="C145" s="1"/>
      <c r="D145" s="1"/>
      <c r="E145" s="1"/>
      <c r="F145" s="1"/>
    </row>
    <row r="146" customFormat="false" ht="15" hidden="false" customHeight="false" outlineLevel="0" collapsed="false">
      <c r="A146" s="1"/>
      <c r="B146" s="1"/>
      <c r="C146" s="1"/>
      <c r="D146" s="1"/>
      <c r="E146" s="1"/>
      <c r="F146" s="1"/>
    </row>
    <row r="147" customFormat="false" ht="15" hidden="false" customHeight="false" outlineLevel="0" collapsed="false">
      <c r="A147" s="1"/>
      <c r="B147" s="1"/>
      <c r="C147" s="1"/>
      <c r="D147" s="1"/>
      <c r="E147" s="1"/>
      <c r="F147" s="1"/>
    </row>
    <row r="148" customFormat="false" ht="15" hidden="false" customHeight="false" outlineLevel="0" collapsed="false">
      <c r="A148" s="1"/>
      <c r="B148" s="1"/>
      <c r="C148" s="1"/>
      <c r="D148" s="1"/>
      <c r="E148" s="1"/>
      <c r="F148" s="1"/>
    </row>
    <row r="149" customFormat="false" ht="15" hidden="false" customHeight="false" outlineLevel="0" collapsed="false">
      <c r="A149" s="1"/>
      <c r="B149" s="1"/>
      <c r="C149" s="1"/>
      <c r="D149" s="1"/>
      <c r="E149" s="1"/>
      <c r="F149" s="1"/>
    </row>
    <row r="150" customFormat="false" ht="15" hidden="false" customHeight="false" outlineLevel="0" collapsed="false">
      <c r="A150" s="1"/>
      <c r="B150" s="1"/>
      <c r="C150" s="1"/>
      <c r="D150" s="1"/>
      <c r="E150" s="1"/>
      <c r="F150" s="1"/>
    </row>
    <row r="151" customFormat="false" ht="15" hidden="false" customHeight="false" outlineLevel="0" collapsed="false">
      <c r="A151" s="1"/>
      <c r="B151" s="1"/>
      <c r="C151" s="1"/>
      <c r="D151" s="1"/>
      <c r="E151" s="1"/>
      <c r="F151" s="1"/>
    </row>
    <row r="152" customFormat="false" ht="15" hidden="false" customHeight="false" outlineLevel="0" collapsed="false">
      <c r="A152" s="1"/>
      <c r="B152" s="1"/>
      <c r="C152" s="1"/>
      <c r="D152" s="1"/>
      <c r="E152" s="1"/>
      <c r="F152" s="1"/>
    </row>
    <row r="153" customFormat="false" ht="15" hidden="false" customHeight="false" outlineLevel="0" collapsed="false">
      <c r="A153" s="1"/>
      <c r="B153" s="1"/>
      <c r="C153" s="1"/>
      <c r="D153" s="1"/>
      <c r="E153" s="1"/>
      <c r="F153" s="1"/>
    </row>
    <row r="154" customFormat="false" ht="15" hidden="false" customHeight="false" outlineLevel="0" collapsed="false">
      <c r="A154" s="1"/>
      <c r="B154" s="1"/>
      <c r="C154" s="1"/>
      <c r="D154" s="1"/>
      <c r="E154" s="1"/>
      <c r="F154" s="1"/>
    </row>
    <row r="155" customFormat="false" ht="15" hidden="false" customHeight="false" outlineLevel="0" collapsed="false">
      <c r="A155" s="1"/>
      <c r="B155" s="1"/>
      <c r="C155" s="1"/>
      <c r="D155" s="1"/>
      <c r="E155" s="1"/>
      <c r="F155" s="1"/>
    </row>
  </sheetData>
  <mergeCells count="83">
    <mergeCell ref="B2:E2"/>
    <mergeCell ref="B3:E3"/>
    <mergeCell ref="B5:E5"/>
    <mergeCell ref="B6:E6"/>
    <mergeCell ref="B8:E8"/>
    <mergeCell ref="B9:E9"/>
    <mergeCell ref="B10:E10"/>
    <mergeCell ref="B12:E12"/>
    <mergeCell ref="B14:E14"/>
    <mergeCell ref="B15:E15"/>
    <mergeCell ref="B17:E17"/>
    <mergeCell ref="B18:E18"/>
    <mergeCell ref="B20:E20"/>
    <mergeCell ref="B21:E21"/>
    <mergeCell ref="B23:E23"/>
    <mergeCell ref="B25:E25"/>
    <mergeCell ref="B27:E27"/>
    <mergeCell ref="B28:E28"/>
    <mergeCell ref="B29:E29"/>
    <mergeCell ref="B30:E30"/>
    <mergeCell ref="B32:E32"/>
    <mergeCell ref="B33:E33"/>
    <mergeCell ref="B34:E34"/>
    <mergeCell ref="B36:E36"/>
    <mergeCell ref="B38:E38"/>
    <mergeCell ref="B42:E42"/>
    <mergeCell ref="B49:E49"/>
    <mergeCell ref="B54:E54"/>
    <mergeCell ref="B57:E57"/>
    <mergeCell ref="B59:E59"/>
    <mergeCell ref="B64:E64"/>
    <mergeCell ref="B68:E68"/>
    <mergeCell ref="B74:E74"/>
    <mergeCell ref="B83:E83"/>
    <mergeCell ref="B85:E85"/>
    <mergeCell ref="B86:E86"/>
    <mergeCell ref="B87:E87"/>
    <mergeCell ref="B88:E88"/>
    <mergeCell ref="B89:E89"/>
    <mergeCell ref="B90:E90"/>
    <mergeCell ref="B91:E91"/>
    <mergeCell ref="B93:E93"/>
    <mergeCell ref="B94:E94"/>
    <mergeCell ref="B95:E95"/>
    <mergeCell ref="B96:E96"/>
    <mergeCell ref="B97:E97"/>
    <mergeCell ref="B98:E98"/>
    <mergeCell ref="B100:E100"/>
    <mergeCell ref="B102:E102"/>
    <mergeCell ref="B103:E103"/>
    <mergeCell ref="B104:E104"/>
    <mergeCell ref="B105:E105"/>
    <mergeCell ref="B106:E106"/>
    <mergeCell ref="B107:E107"/>
    <mergeCell ref="B108:E108"/>
    <mergeCell ref="B109:E109"/>
    <mergeCell ref="B111:E111"/>
    <mergeCell ref="B112:E112"/>
    <mergeCell ref="B113:E113"/>
    <mergeCell ref="B114:E114"/>
    <mergeCell ref="B115:E115"/>
    <mergeCell ref="B117:E117"/>
    <mergeCell ref="B119:E119"/>
    <mergeCell ref="B120:E120"/>
    <mergeCell ref="B121:E121"/>
    <mergeCell ref="B122:E122"/>
    <mergeCell ref="B124:E124"/>
    <mergeCell ref="B125:E125"/>
    <mergeCell ref="B126:E126"/>
    <mergeCell ref="B127:E127"/>
    <mergeCell ref="B129:E129"/>
    <mergeCell ref="B130:E130"/>
    <mergeCell ref="B131:E131"/>
    <mergeCell ref="B133:E133"/>
    <mergeCell ref="B135:E135"/>
    <mergeCell ref="B136:E136"/>
    <mergeCell ref="B137:E137"/>
    <mergeCell ref="B138:E138"/>
    <mergeCell ref="B139:E139"/>
    <mergeCell ref="B140:E140"/>
    <mergeCell ref="B142:E142"/>
    <mergeCell ref="B143:E143"/>
    <mergeCell ref="B144:E14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2026-02-12T12:59:38Z</dcterms:created>
  <dc:creator>openpyxl</dc:creator>
  <dc:description/>
  <dc:language>en-US</dc:language>
  <cp:lastModifiedBy/>
  <dcterms:modified xsi:type="dcterms:W3CDTF">2026-02-12T08:19:00Z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